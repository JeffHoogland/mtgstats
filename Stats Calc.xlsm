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360" yWindow="195" windowWidth="13395" windowHeight="11760" firstSheet="1" activeTab="1"/>
  </bookViews>
  <sheets>
    <sheet name="Raw Data" sheetId="24" state="hidden" r:id="rId1"/>
    <sheet name="Instructions" sheetId="2" r:id="rId2"/>
    <sheet name="Stats by Event Type" sheetId="20" r:id="rId3"/>
    <sheet name="Stats by Format" sheetId="3" r:id="rId4"/>
    <sheet name="Formatted Data" sheetId="8" r:id="rId5"/>
  </sheets>
  <definedNames>
    <definedName name="_xlnm._FilterDatabase" localSheetId="4" hidden="1">'Formatted Data'!$A$1:$L$165</definedName>
  </definedNames>
  <calcPr calcId="125725"/>
  <pivotCaches>
    <pivotCache cacheId="0" r:id="rId6"/>
  </pivotCaches>
</workbook>
</file>

<file path=xl/calcChain.xml><?xml version="1.0" encoding="utf-8"?>
<calcChain xmlns="http://schemas.openxmlformats.org/spreadsheetml/2006/main">
  <c r="I13" i="20"/>
  <c r="I4"/>
  <c r="I16" i="3"/>
  <c r="I13"/>
  <c r="I8"/>
  <c r="I12" i="20"/>
  <c r="I5"/>
  <c r="I21" i="3"/>
  <c r="I4"/>
  <c r="I9"/>
  <c r="I17" i="20"/>
  <c r="I9"/>
  <c r="I24" i="3"/>
  <c r="I25"/>
  <c r="I20"/>
  <c r="I16" i="20"/>
  <c r="I8"/>
  <c r="I12" i="3"/>
  <c r="I17"/>
  <c r="I5"/>
  <c r="I25" i="20"/>
  <c r="I21"/>
  <c r="I24"/>
  <c r="I20"/>
</calcChain>
</file>

<file path=xl/sharedStrings.xml><?xml version="1.0" encoding="utf-8"?>
<sst xmlns="http://schemas.openxmlformats.org/spreadsheetml/2006/main" count="105" uniqueCount="61">
  <si>
    <t>Date</t>
  </si>
  <si>
    <t>Location</t>
  </si>
  <si>
    <t>DCI Number:</t>
  </si>
  <si>
    <t>Generate Login Link:</t>
  </si>
  <si>
    <t>Step 1:</t>
  </si>
  <si>
    <t>Enter your DIC number below, then click "Generate Login Link"</t>
  </si>
  <si>
    <t>Step 0:</t>
  </si>
  <si>
    <t>Scrub Data</t>
  </si>
  <si>
    <t>Step 2:</t>
  </si>
  <si>
    <t>Click on the Login Link above and enter your password for your DCI number.</t>
  </si>
  <si>
    <t>Step 3:</t>
  </si>
  <si>
    <t>Open this hyperlink.</t>
  </si>
  <si>
    <t>Step 4:</t>
  </si>
  <si>
    <t>Step 5:</t>
  </si>
  <si>
    <t>Step 6:</t>
  </si>
  <si>
    <t>Select all the data on the web page with ctrl+a and then copy it with ctrl+c</t>
  </si>
  <si>
    <t>Step 7:</t>
  </si>
  <si>
    <t>Step 8:</t>
  </si>
  <si>
    <t>Generate Stats,</t>
  </si>
  <si>
    <t>Click here to import from clipboard.</t>
  </si>
  <si>
    <t>Modern</t>
  </si>
  <si>
    <t>Standard</t>
  </si>
  <si>
    <t>Sealed</t>
  </si>
  <si>
    <t>Legacy</t>
  </si>
  <si>
    <t>Booster Draft</t>
  </si>
  <si>
    <t>If you've used this workbook before, be sure to scrub the old data before running again.</t>
  </si>
  <si>
    <t>Event Type</t>
  </si>
  <si>
    <t>Number of Players</t>
  </si>
  <si>
    <t>Format</t>
  </si>
  <si>
    <t>Place</t>
  </si>
  <si>
    <t>Wins</t>
  </si>
  <si>
    <t>Losses</t>
  </si>
  <si>
    <t>Draws</t>
  </si>
  <si>
    <t>Event TO</t>
  </si>
  <si>
    <t>All</t>
  </si>
  <si>
    <t>Row Labels</t>
  </si>
  <si>
    <t>Grand Total</t>
  </si>
  <si>
    <t>Sum of Wins</t>
  </si>
  <si>
    <t>Sum of Losses</t>
  </si>
  <si>
    <t>Sum of Draws</t>
  </si>
  <si>
    <t>Win Percentage (without draws):</t>
  </si>
  <si>
    <t>Format:</t>
  </si>
  <si>
    <t>Win Percentage (with draws):</t>
  </si>
  <si>
    <t>Enter DCI Number Here</t>
  </si>
  <si>
    <t>Open your browser's developer console.
Google Chrome: ctrl+shift+j
Firefox: ctrl+shift+k
Internet Explorer: F12, then click "console"</t>
  </si>
  <si>
    <t>$("a.Expand").click()</t>
  </si>
  <si>
    <t>In the console enter:</t>
  </si>
  <si>
    <t>(blank)</t>
  </si>
  <si>
    <t>Friday Night Magic</t>
  </si>
  <si>
    <t>Event Type:</t>
  </si>
  <si>
    <t>Grand Prix</t>
  </si>
  <si>
    <t>Magic WPN Premium</t>
  </si>
  <si>
    <t>Magic PTQ</t>
  </si>
  <si>
    <t>Pro Tour</t>
  </si>
  <si>
    <t>On the right side of the page for "View:" select "Events Only" from the drop down.</t>
  </si>
  <si>
    <t>Step 9:</t>
  </si>
  <si>
    <t>Step 8 (alt):</t>
  </si>
  <si>
    <t>If the above import does not work for you, click on the "Show Data Page" link to the right of this cell and paste the data in cell A1 on that page.</t>
  </si>
  <si>
    <t>Show Data Page</t>
  </si>
  <si>
    <t>Values</t>
  </si>
  <si>
    <t>If "Show Data Page" does not unhide the "Raw Data" worksheet, then right click on the worksheet names at the bottom of the workbook and select "Unhide" and then unhide the "Raw Data" page.</t>
  </si>
</sst>
</file>

<file path=xl/styles.xml><?xml version="1.0" encoding="utf-8"?>
<styleSheet xmlns="http://schemas.openxmlformats.org/spreadsheetml/2006/main">
  <fonts count="5">
    <font>
      <sz val="10"/>
      <color theme="1"/>
      <name val="Arial"/>
      <family val="2"/>
    </font>
    <font>
      <b/>
      <sz val="10"/>
      <color theme="1"/>
      <name val="Arial"/>
      <family val="2"/>
    </font>
    <font>
      <u/>
      <sz val="10"/>
      <color theme="10"/>
      <name val="Arial"/>
      <family val="2"/>
    </font>
    <font>
      <i/>
      <sz val="10"/>
      <color theme="1"/>
      <name val="Arial"/>
      <family val="2"/>
    </font>
    <font>
      <sz val="10"/>
      <color theme="1"/>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xf numFmtId="0" fontId="2" fillId="0" borderId="0" xfId="1"/>
    <xf numFmtId="0" fontId="0" fillId="0" borderId="0" xfId="0" applyAlignment="1">
      <alignment horizontal="center" vertical="center"/>
    </xf>
    <xf numFmtId="0" fontId="1" fillId="0" borderId="0" xfId="0" applyFont="1" applyAlignment="1">
      <alignment horizontal="center" vertical="center"/>
    </xf>
    <xf numFmtId="0" fontId="2" fillId="0" borderId="0" xfId="1" applyAlignment="1">
      <alignment horizontal="center" vertical="center"/>
    </xf>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0" fontId="3" fillId="0" borderId="0" xfId="0" applyFont="1"/>
    <xf numFmtId="0" fontId="0" fillId="0" borderId="0" xfId="0" applyAlignment="1">
      <alignment horizontal="center" vertical="center" wrapText="1"/>
    </xf>
    <xf numFmtId="0" fontId="3" fillId="0" borderId="0" xfId="0" applyFont="1" applyAlignment="1">
      <alignment horizontal="right"/>
    </xf>
    <xf numFmtId="0" fontId="2" fillId="0" borderId="0" xfId="1" applyAlignment="1">
      <alignment horizontal="center" vertical="center"/>
    </xf>
    <xf numFmtId="0" fontId="0" fillId="0" borderId="0" xfId="0" applyAlignment="1">
      <alignment horizontal="center" vertical="center" wrapText="1"/>
    </xf>
    <xf numFmtId="0" fontId="2" fillId="0" borderId="0" xfId="1" applyAlignment="1">
      <alignment horizontal="center" vertical="center" wrapText="1"/>
    </xf>
    <xf numFmtId="0" fontId="0" fillId="0" borderId="0" xfId="0" applyAlignment="1">
      <alignment horizontal="center" vertical="center"/>
    </xf>
    <xf numFmtId="0" fontId="2" fillId="0" borderId="0" xfId="1" applyAlignment="1">
      <alignment horizontal="center" vertical="center"/>
    </xf>
    <xf numFmtId="0" fontId="4" fillId="0" borderId="0" xfId="1" applyFont="1" applyAlignment="1">
      <alignment horizontal="center" vertical="center" wrapText="1"/>
    </xf>
    <xf numFmtId="0" fontId="0" fillId="0" borderId="0" xfId="0" applyAlignment="1">
      <alignment horizont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RIXBK" refreshedDate="41506.830189930559" createdVersion="4" refreshedVersion="3" minRefreshableVersion="3" recordCount="165">
  <cacheSource type="worksheet">
    <worksheetSource ref="A1:J1048576" sheet="Formatted Data"/>
  </cacheSource>
  <cacheFields count="10">
    <cacheField name="Event Type" numFmtId="0">
      <sharedItems containsNonDate="0" containsBlank="1" count="14">
        <m/>
        <s v="Friday Night Magic" u="1"/>
        <s v="Magic Game Day" u="1"/>
        <s v="Magic Prerelease" u="1"/>
        <s v="Magic Casual Event" u="1"/>
        <s v="Public Event at Grand Prix" u="1"/>
        <s v="Magic Celebration" u="1"/>
        <s v="Magic Pro Tour Qualifier" u="1"/>
        <s v="Magic Grand Prix Trial" u="1"/>
        <s v="Magic WPN Premium Tournament" u="1"/>
        <s v="8 players Side Events" u="1"/>
        <s v="Magic Grand Prix" u="1"/>
        <s v="Magic Tournament" u="1"/>
        <s v="World Magic Cup Qualifier" u="1"/>
      </sharedItems>
    </cacheField>
    <cacheField name="Event TO" numFmtId="0">
      <sharedItems containsNonDate="0" containsBlank="1" count="30">
        <m/>
        <s v="Tenth Planet" u="1"/>
        <s v="Xtreme Games" u="1"/>
        <s v="Sharonville Convention Center" u="1"/>
        <s v="Navy Pier" u="1"/>
        <s v="Gryfalia's Aerie" u="1"/>
        <s v="Des Moines Marriott Downtown" u="1"/>
        <s v="Overland Park Convention Center" u="1"/>
        <s v="Hobby Horse" u="1"/>
        <s v="Kansas City Convention Center" u="1"/>
        <s v="Nashville Convention Center" u="1"/>
        <s v="Pastimes" u="1"/>
        <s v="Yeti Gaming" u="1"/>
        <s v="Odeum Expo Center" u="1"/>
        <s v="Gamerz" u="1"/>
        <s v="Gamestorm" u="1"/>
        <s v="Off On The Square" u="1"/>
        <s v="JW Marriott, Griffin Hall" u="1"/>
        <s v="Century Center" u="1"/>
        <s v="Greater Columbus Convention Center" u="1"/>
        <s v="Cashman Center" u="1"/>
        <s v="Gwinnett Center" u="1"/>
        <s v="Indiana Convention Center" u="1"/>
        <s v="Gateway Center" u="1"/>
        <s v="Frontier Airlines Center" u="1"/>
        <s v="Garden State Exhibition Center" u="1"/>
        <s v="Alliant Energy Center" u="1"/>
        <s v="Crowne Plaza Hotel Chicago O’Hare" u="1"/>
        <s v="Fantasy Shop, The - St Charles" u="1"/>
        <s v="Lucas Oil Stadium" u="1"/>
      </sharedItems>
    </cacheField>
    <cacheField name="Format" numFmtId="0">
      <sharedItems containsNonDate="0" containsBlank="1" count="9">
        <m/>
        <s v="Legacy" u="1"/>
        <s v="2 HG Sealed" u="1"/>
        <s v="Booster Draft" u="1"/>
        <s v="Modern" u="1"/>
        <s v="Standard" u="1"/>
        <s v="Sealed" u="1"/>
        <s v="Casual - Constructed" u="1"/>
        <s v="Casual - Limited" u="1"/>
      </sharedItems>
    </cacheField>
    <cacheField name="Date" numFmtId="0">
      <sharedItems containsNonDate="0" containsDate="1" containsString="0" containsBlank="1" minDate="2011-03-05T00:00:00" maxDate="2013-08-05T00:00:00" count="159">
        <m/>
        <d v="2011-09-25T00:00:00" u="1"/>
        <d v="2012-06-29T00:00:00" u="1"/>
        <d v="2013-07-15T00:00:00" u="1"/>
        <d v="2011-07-08T00:00:00" u="1"/>
        <d v="2012-06-03T00:00:00" u="1"/>
        <d v="2013-07-08T00:00:00" u="1"/>
        <d v="2012-07-27T00:00:00" u="1"/>
        <d v="2013-06-22T00:00:00" u="1"/>
        <d v="2013-04-05T00:00:00" u="1"/>
        <d v="2012-06-15T00:00:00" u="1"/>
        <d v="2013-05-10T00:00:00" u="1"/>
        <d v="2013-07-01T00:00:00" u="1"/>
        <d v="2013-06-15T00:00:00" u="1"/>
        <d v="2011-09-30T00:00:00" u="1"/>
        <d v="2013-05-29T00:00:00" u="1"/>
        <d v="2013-07-20T00:00:00" u="1"/>
        <d v="2012-06-08T00:00:00" u="1"/>
        <d v="2013-05-03T00:00:00" u="1"/>
        <d v="2011-03-05T00:00:00" u="1"/>
        <d v="2012-03-31T00:00:00" u="1"/>
        <d v="2013-06-08T00:00:00" u="1"/>
        <d v="2011-09-23T00:00:00" u="1"/>
        <d v="2013-05-22T00:00:00" u="1"/>
        <d v="2011-10-28T00:00:00" u="1"/>
        <d v="2012-09-23T00:00:00" u="1"/>
        <d v="2011-04-29T00:00:00" u="1"/>
        <d v="2011-10-02T00:00:00" u="1"/>
        <d v="2012-03-24T00:00:00" u="1"/>
        <d v="2012-07-06T00:00:00" u="1"/>
        <d v="2013-06-01T00:00:00" u="1"/>
        <d v="2011-09-16T00:00:00" u="1"/>
        <d v="2012-08-11T00:00:00" u="1"/>
        <d v="2013-03-24T00:00:00" u="1"/>
        <d v="2013-07-06T00:00:00" u="1"/>
        <d v="2011-10-21T00:00:00" u="1"/>
        <d v="2012-02-12T00:00:00" u="1"/>
        <d v="2011-04-22T00:00:00" u="1"/>
        <d v="2012-10-21T00:00:00" u="1"/>
        <d v="2012-08-04T00:00:00" u="1"/>
        <d v="2013-08-04T00:00:00" u="1"/>
        <d v="2012-03-10T00:00:00" u="1"/>
        <d v="2011-09-02T00:00:00" u="1"/>
        <d v="2012-02-24T00:00:00" u="1"/>
        <d v="2012-09-28T00:00:00" u="1"/>
        <d v="2013-01-19T00:00:00" u="1"/>
        <d v="2013-03-10T00:00:00" u="1"/>
        <d v="2012-10-07T00:00:00" u="1"/>
        <d v="2012-04-08T00:00:00" u="1"/>
        <d v="2012-09-21T00:00:00" u="1"/>
        <d v="2013-01-12T00:00:00" u="1"/>
        <d v="2012-05-13T00:00:00" u="1"/>
        <d v="2012-10-26T00:00:00" u="1"/>
        <d v="2012-04-27T00:00:00" u="1"/>
        <d v="2012-09-14T00:00:00" u="1"/>
        <d v="2013-01-05T00:00:00" u="1"/>
        <d v="2013-02-10T00:00:00" u="1"/>
        <d v="2012-04-20T00:00:00" u="1"/>
        <d v="2011-12-03T00:00:00" u="1"/>
        <d v="2012-02-03T00:00:00" u="1"/>
        <d v="2012-09-07T00:00:00" u="1"/>
        <d v="2012-12-29T00:00:00" u="1"/>
        <d v="2012-06-30T00:00:00" u="1"/>
        <d v="2012-10-12T00:00:00" u="1"/>
        <d v="2013-05-25T00:00:00" u="1"/>
        <d v="2012-04-13T00:00:00" u="1"/>
        <d v="2012-11-17T00:00:00" u="1"/>
        <d v="2012-05-18T00:00:00" u="1"/>
        <d v="2012-12-22T00:00:00" u="1"/>
        <d v="2013-02-22T00:00:00" u="1"/>
        <d v="2013-04-13T00:00:00" u="1"/>
        <d v="2012-06-23T00:00:00" u="1"/>
        <d v="2013-05-18T00:00:00" u="1"/>
        <d v="2012-07-28T00:00:00" u="1"/>
        <d v="2012-11-10T00:00:00" u="1"/>
        <d v="2013-05-11T00:00:00" u="1"/>
        <d v="2011-08-26T00:00:00" u="1"/>
        <d v="2012-07-21T00:00:00" u="1"/>
        <d v="2012-11-03T00:00:00" u="1"/>
        <d v="2013-06-16T00:00:00" u="1"/>
        <d v="2012-05-04T00:00:00" u="1"/>
        <d v="2012-12-08T00:00:00" u="1"/>
        <d v="2012-06-09T00:00:00" u="1"/>
        <d v="2012-07-14T00:00:00" u="1"/>
        <d v="2013-06-09T00:00:00" u="1"/>
        <d v="2012-06-02T00:00:00" u="1"/>
        <d v="2013-06-28T00:00:00" u="1"/>
        <d v="2012-07-07T00:00:00" u="1"/>
        <d v="2013-06-02T00:00:00" u="1"/>
        <d v="2012-08-12T00:00:00" u="1"/>
        <d v="2013-06-21T00:00:00" u="1"/>
        <d v="2012-01-27T00:00:00" u="1"/>
        <d v="2012-08-31T00:00:00" u="1"/>
        <d v="2013-07-26T00:00:00" u="1"/>
        <d v="2011-09-10T00:00:00" u="1"/>
        <d v="2011-03-11T00:00:00" u="1"/>
        <d v="2011-10-15T00:00:00" u="1"/>
        <d v="2012-01-20T00:00:00" u="1"/>
        <d v="2012-08-24T00:00:00" u="1"/>
        <d v="2012-02-25T00:00:00" u="1"/>
        <d v="2012-09-29T00:00:00" u="1"/>
        <d v="2011-10-08T00:00:00" u="1"/>
        <d v="2012-03-30T00:00:00" u="1"/>
        <d v="2012-01-13T00:00:00" u="1"/>
        <d v="2012-08-17T00:00:00" u="1"/>
        <d v="2013-03-30T00:00:00" u="1"/>
        <d v="2013-07-12T00:00:00" u="1"/>
        <d v="2012-02-18T00:00:00" u="1"/>
        <d v="2012-09-22T00:00:00" u="1"/>
        <d v="2013-06-26T00:00:00" u="1"/>
        <d v="2012-03-23T00:00:00" u="1"/>
        <d v="2012-01-06T00:00:00" u="1"/>
        <d v="2012-04-28T00:00:00" u="1"/>
        <d v="2013-03-23T00:00:00" u="1"/>
        <d v="2011-05-07T00:00:00" u="1"/>
        <d v="2012-02-11T00:00:00" u="1"/>
        <d v="2013-01-06T00:00:00" u="1"/>
        <d v="2011-11-25T00:00:00" u="1"/>
        <d v="2012-03-16T00:00:00" u="1"/>
        <d v="2012-10-20T00:00:00" u="1"/>
        <d v="2011-12-30T00:00:00" u="1"/>
        <d v="2012-08-03T00:00:00" u="1"/>
        <d v="2013-03-16T00:00:00" u="1"/>
        <d v="2012-02-04T00:00:00" u="1"/>
        <d v="2012-09-08T00:00:00" u="1"/>
        <d v="2013-06-12T00:00:00" u="1"/>
        <d v="2013-08-03T00:00:00" u="1"/>
        <d v="2011-11-18T00:00:00" u="1"/>
        <d v="2012-03-09T00:00:00" u="1"/>
        <d v="2011-12-23T00:00:00" u="1"/>
        <d v="2012-04-14T00:00:00" u="1"/>
        <d v="2013-03-09T00:00:00" u="1"/>
        <d v="2012-09-01T00:00:00" u="1"/>
        <d v="2012-12-23T00:00:00" u="1"/>
        <d v="2013-02-23T00:00:00" u="1"/>
        <d v="2013-04-14T00:00:00" u="1"/>
        <d v="2013-06-05T00:00:00" u="1"/>
        <d v="2011-07-29T00:00:00" u="1"/>
        <d v="2011-11-11T00:00:00" u="1"/>
        <d v="2012-03-02T00:00:00" u="1"/>
        <d v="2012-10-06T00:00:00" u="1"/>
        <d v="2013-05-19T00:00:00" u="1"/>
        <d v="2013-07-10T00:00:00" u="1"/>
        <d v="2011-12-16T00:00:00" u="1"/>
        <d v="2012-04-07T00:00:00" u="1"/>
        <d v="2013-03-02T00:00:00" u="1"/>
        <d v="2012-05-12T00:00:00" u="1"/>
        <d v="2013-04-07T00:00:00" u="1"/>
        <d v="2011-11-04T00:00:00" u="1"/>
        <d v="2012-06-17T00:00:00" u="1"/>
        <d v="2011-12-09T00:00:00" u="1"/>
        <d v="2012-07-22T00:00:00" u="1"/>
        <d v="2012-11-04T00:00:00" u="1"/>
        <d v="2013-04-26T00:00:00" u="1"/>
        <d v="2013-06-17T00:00:00" u="1"/>
        <d v="2013-07-22T00:00:00" u="1"/>
        <d v="2011-12-02T00:00:00" u="1"/>
        <d v="2012-07-15T00:00:00" u="1"/>
        <d v="2013-06-10T00:00:00" u="1"/>
      </sharedItems>
    </cacheField>
    <cacheField name="Wins" numFmtId="0">
      <sharedItems containsNonDate="0" containsString="0" containsBlank="1"/>
    </cacheField>
    <cacheField name="Losses" numFmtId="0">
      <sharedItems containsNonDate="0" containsString="0" containsBlank="1"/>
    </cacheField>
    <cacheField name="Draws" numFmtId="0">
      <sharedItems containsNonDate="0" containsString="0" containsBlank="1"/>
    </cacheField>
    <cacheField name="Number of Players" numFmtId="0">
      <sharedItems containsNonDate="0" containsString="0" containsBlank="1"/>
    </cacheField>
    <cacheField name="Place" numFmtId="0">
      <sharedItems containsNonDate="0" containsString="0" containsBlank="1"/>
    </cacheField>
    <cacheField name="Loca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5">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3"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sd="0" m="1" x="10"/>
        <item sd="0" m="1" x="1"/>
        <item sd="0" m="1" x="4"/>
        <item sd="0" m="1" x="6"/>
        <item sd="0" m="1" x="2"/>
        <item sd="0" m="1" x="11"/>
        <item sd="0" m="1" x="8"/>
        <item sd="0" m="1" x="3"/>
        <item sd="0" m="1" x="7"/>
        <item sd="0" m="1" x="12"/>
        <item sd="0" m="1" x="9"/>
        <item sd="0" m="1" x="5"/>
        <item sd="0" m="1" x="13"/>
        <item sd="0" x="0"/>
        <item t="default"/>
      </items>
    </pivotField>
    <pivotField axis="axisRow" showAll="0">
      <items count="31">
        <item m="1" x="26"/>
        <item m="1" x="20"/>
        <item m="1" x="18"/>
        <item m="1" x="27"/>
        <item m="1" x="6"/>
        <item m="1" x="28"/>
        <item m="1" x="24"/>
        <item m="1" x="14"/>
        <item m="1" x="15"/>
        <item m="1" x="25"/>
        <item m="1" x="23"/>
        <item m="1" x="19"/>
        <item m="1" x="5"/>
        <item m="1" x="21"/>
        <item m="1" x="8"/>
        <item m="1" x="22"/>
        <item m="1" x="17"/>
        <item m="1" x="9"/>
        <item m="1" x="29"/>
        <item m="1" x="10"/>
        <item m="1" x="4"/>
        <item m="1" x="13"/>
        <item m="1" x="16"/>
        <item m="1" x="7"/>
        <item m="1" x="11"/>
        <item m="1" x="3"/>
        <item m="1" x="1"/>
        <item m="1" x="2"/>
        <item m="1" x="12"/>
        <item x="0"/>
        <item t="default"/>
      </items>
    </pivotField>
    <pivotField axis="axisRow" showAll="0">
      <items count="10">
        <item m="1" x="2"/>
        <item m="1" x="3"/>
        <item m="1" x="7"/>
        <item m="1" x="8"/>
        <item m="1" x="1"/>
        <item m="1" x="4"/>
        <item m="1" x="6"/>
        <item m="1" x="5"/>
        <item x="0"/>
        <item t="default"/>
      </items>
    </pivotField>
    <pivotField axis="axisPage" multipleItemSelectionAllowed="1" showAll="0">
      <items count="160">
        <item m="1" x="19"/>
        <item m="1" x="95"/>
        <item m="1" x="37"/>
        <item m="1" x="26"/>
        <item m="1" x="114"/>
        <item m="1" x="4"/>
        <item m="1" x="137"/>
        <item m="1" x="76"/>
        <item m="1" x="42"/>
        <item m="1" x="94"/>
        <item m="1" x="31"/>
        <item m="1" x="22"/>
        <item m="1" x="1"/>
        <item m="1" x="14"/>
        <item m="1" x="27"/>
        <item m="1" x="101"/>
        <item m="1" x="96"/>
        <item m="1" x="35"/>
        <item m="1" x="24"/>
        <item m="1" x="148"/>
        <item m="1" x="138"/>
        <item m="1" x="127"/>
        <item m="1" x="117"/>
        <item m="1" x="156"/>
        <item m="1" x="58"/>
        <item m="1" x="150"/>
        <item m="1" x="143"/>
        <item m="1" x="129"/>
        <item m="1" x="120"/>
        <item m="1" x="111"/>
        <item m="1" x="103"/>
        <item m="1" x="97"/>
        <item m="1" x="91"/>
        <item m="1" x="59"/>
        <item m="1" x="123"/>
        <item m="1" x="115"/>
        <item m="1" x="36"/>
        <item m="1" x="107"/>
        <item m="1" x="43"/>
        <item m="1" x="99"/>
        <item m="1" x="139"/>
        <item m="1" x="128"/>
        <item m="1" x="41"/>
        <item m="1" x="118"/>
        <item m="1" x="110"/>
        <item m="1" x="28"/>
        <item m="1" x="102"/>
        <item m="1" x="20"/>
        <item m="1" x="144"/>
        <item m="1" x="48"/>
        <item m="1" x="65"/>
        <item m="1" x="130"/>
        <item m="1" x="57"/>
        <item m="1" x="53"/>
        <item m="1" x="112"/>
        <item m="1" x="80"/>
        <item m="1" x="146"/>
        <item m="1" x="51"/>
        <item m="1" x="67"/>
        <item m="1" x="85"/>
        <item m="1" x="5"/>
        <item m="1" x="17"/>
        <item m="1" x="82"/>
        <item m="1" x="10"/>
        <item m="1" x="149"/>
        <item m="1" x="71"/>
        <item m="1" x="2"/>
        <item m="1" x="62"/>
        <item m="1" x="29"/>
        <item m="1" x="87"/>
        <item m="1" x="83"/>
        <item m="1" x="157"/>
        <item m="1" x="77"/>
        <item m="1" x="151"/>
        <item m="1" x="7"/>
        <item m="1" x="73"/>
        <item m="1" x="121"/>
        <item m="1" x="39"/>
        <item m="1" x="32"/>
        <item m="1" x="89"/>
        <item m="1" x="104"/>
        <item m="1" x="98"/>
        <item m="1" x="92"/>
        <item m="1" x="132"/>
        <item m="1" x="60"/>
        <item m="1" x="124"/>
        <item m="1" x="54"/>
        <item m="1" x="49"/>
        <item m="1" x="108"/>
        <item m="1" x="25"/>
        <item m="1" x="44"/>
        <item m="1" x="100"/>
        <item m="1" x="140"/>
        <item m="1" x="47"/>
        <item m="1" x="63"/>
        <item m="1" x="119"/>
        <item m="1" x="38"/>
        <item m="1" x="52"/>
        <item m="1" x="78"/>
        <item m="1" x="152"/>
        <item m="1" x="74"/>
        <item m="1" x="66"/>
        <item m="1" x="81"/>
        <item m="1" x="68"/>
        <item m="1" x="133"/>
        <item m="1" x="61"/>
        <item m="1" x="55"/>
        <item m="1" x="116"/>
        <item m="1" x="50"/>
        <item m="1" x="45"/>
        <item m="1" x="56"/>
        <item m="1" x="69"/>
        <item m="1" x="134"/>
        <item m="1" x="145"/>
        <item m="1" x="131"/>
        <item m="1" x="46"/>
        <item m="1" x="122"/>
        <item m="1" x="113"/>
        <item m="1" x="33"/>
        <item m="1" x="105"/>
        <item m="1" x="9"/>
        <item m="1" x="147"/>
        <item m="1" x="70"/>
        <item m="1" x="135"/>
        <item m="1" x="153"/>
        <item m="1" x="18"/>
        <item m="1" x="11"/>
        <item m="1" x="75"/>
        <item m="1" x="72"/>
        <item m="1" x="141"/>
        <item m="1" x="23"/>
        <item m="1" x="64"/>
        <item m="1" x="15"/>
        <item m="1" x="30"/>
        <item m="1" x="88"/>
        <item m="1" x="136"/>
        <item m="1" x="21"/>
        <item m="1" x="84"/>
        <item m="1" x="158"/>
        <item m="1" x="125"/>
        <item m="1" x="13"/>
        <item m="1" x="79"/>
        <item m="1" x="154"/>
        <item m="1" x="90"/>
        <item m="1" x="8"/>
        <item m="1" x="109"/>
        <item m="1" x="86"/>
        <item m="1" x="12"/>
        <item m="1" x="34"/>
        <item m="1" x="6"/>
        <item m="1" x="142"/>
        <item m="1" x="106"/>
        <item m="1" x="3"/>
        <item m="1" x="16"/>
        <item m="1" x="155"/>
        <item m="1" x="93"/>
        <item m="1" x="126"/>
        <item m="1" x="40"/>
        <item x="0"/>
        <item t="default"/>
      </items>
    </pivotField>
    <pivotField dataField="1" showAll="0"/>
    <pivotField dataField="1" showAll="0"/>
    <pivotField dataField="1" showAll="0"/>
    <pivotField showAll="0"/>
    <pivotField showAll="0"/>
    <pivotField showAll="0"/>
  </pivotFields>
  <rowFields count="3">
    <field x="0"/>
    <field x="2"/>
    <field x="1"/>
  </rowFields>
  <rowItems count="2">
    <i>
      <x v="13"/>
    </i>
    <i t="grand">
      <x/>
    </i>
  </rowItems>
  <colFields count="1">
    <field x="-2"/>
  </colFields>
  <colItems count="3">
    <i>
      <x/>
    </i>
    <i i="1">
      <x v="1"/>
    </i>
    <i i="2">
      <x v="2"/>
    </i>
  </colItems>
  <pageFields count="1">
    <pageField fld="3" hier="-1"/>
  </pageFields>
  <dataFields count="3">
    <dataField name="Sum of Wins" fld="4" baseField="0" baseItem="13"/>
    <dataField name="Sum of Losses" fld="5" baseField="0" baseItem="13"/>
    <dataField name="Sum of Draws" fld="6" baseField="0" baseItem="1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3"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m="1" x="10"/>
        <item m="1" x="1"/>
        <item m="1" x="4"/>
        <item m="1" x="6"/>
        <item m="1" x="2"/>
        <item m="1" x="11"/>
        <item m="1" x="8"/>
        <item m="1" x="3"/>
        <item m="1" x="7"/>
        <item m="1" x="12"/>
        <item m="1" x="9"/>
        <item m="1" x="5"/>
        <item m="1" x="13"/>
        <item x="0"/>
        <item t="default"/>
      </items>
    </pivotField>
    <pivotField axis="axisRow" showAll="0">
      <items count="31">
        <item m="1" x="26"/>
        <item m="1" x="20"/>
        <item m="1" x="18"/>
        <item m="1" x="27"/>
        <item m="1" x="6"/>
        <item m="1" x="28"/>
        <item m="1" x="24"/>
        <item m="1" x="14"/>
        <item m="1" x="15"/>
        <item m="1" x="25"/>
        <item m="1" x="23"/>
        <item m="1" x="19"/>
        <item m="1" x="5"/>
        <item m="1" x="21"/>
        <item m="1" x="8"/>
        <item m="1" x="22"/>
        <item m="1" x="17"/>
        <item m="1" x="9"/>
        <item m="1" x="29"/>
        <item m="1" x="10"/>
        <item m="1" x="4"/>
        <item m="1" x="13"/>
        <item m="1" x="16"/>
        <item m="1" x="7"/>
        <item m="1" x="11"/>
        <item m="1" x="3"/>
        <item m="1" x="1"/>
        <item m="1" x="2"/>
        <item m="1" x="12"/>
        <item x="0"/>
        <item t="default"/>
      </items>
    </pivotField>
    <pivotField axis="axisRow" showAll="0">
      <items count="10">
        <item sd="0" m="1" x="2"/>
        <item sd="0" m="1" x="3"/>
        <item sd="0" m="1" x="7"/>
        <item sd="0" m="1" x="8"/>
        <item sd="0" m="1" x="1"/>
        <item sd="0" m="1" x="4"/>
        <item sd="0" m="1" x="6"/>
        <item sd="0" m="1" x="5"/>
        <item sd="0" x="0"/>
        <item t="default"/>
      </items>
    </pivotField>
    <pivotField axis="axisPage" multipleItemSelectionAllowed="1" showAll="0">
      <items count="160">
        <item m="1" x="19"/>
        <item m="1" x="95"/>
        <item m="1" x="37"/>
        <item m="1" x="26"/>
        <item m="1" x="114"/>
        <item m="1" x="4"/>
        <item m="1" x="137"/>
        <item m="1" x="76"/>
        <item m="1" x="42"/>
        <item m="1" x="94"/>
        <item m="1" x="31"/>
        <item m="1" x="22"/>
        <item m="1" x="1"/>
        <item m="1" x="14"/>
        <item m="1" x="27"/>
        <item m="1" x="101"/>
        <item m="1" x="96"/>
        <item m="1" x="35"/>
        <item m="1" x="24"/>
        <item m="1" x="148"/>
        <item m="1" x="138"/>
        <item m="1" x="127"/>
        <item m="1" x="117"/>
        <item m="1" x="156"/>
        <item m="1" x="58"/>
        <item m="1" x="150"/>
        <item m="1" x="143"/>
        <item m="1" x="129"/>
        <item m="1" x="120"/>
        <item m="1" x="111"/>
        <item m="1" x="103"/>
        <item m="1" x="97"/>
        <item m="1" x="91"/>
        <item m="1" x="59"/>
        <item m="1" x="123"/>
        <item m="1" x="115"/>
        <item m="1" x="36"/>
        <item m="1" x="107"/>
        <item m="1" x="43"/>
        <item m="1" x="99"/>
        <item m="1" x="139"/>
        <item m="1" x="128"/>
        <item m="1" x="41"/>
        <item m="1" x="118"/>
        <item m="1" x="110"/>
        <item m="1" x="28"/>
        <item m="1" x="102"/>
        <item m="1" x="20"/>
        <item m="1" x="144"/>
        <item m="1" x="48"/>
        <item m="1" x="65"/>
        <item m="1" x="130"/>
        <item m="1" x="57"/>
        <item m="1" x="53"/>
        <item m="1" x="112"/>
        <item m="1" x="80"/>
        <item m="1" x="146"/>
        <item m="1" x="51"/>
        <item m="1" x="67"/>
        <item m="1" x="85"/>
        <item m="1" x="5"/>
        <item m="1" x="17"/>
        <item m="1" x="82"/>
        <item m="1" x="10"/>
        <item m="1" x="149"/>
        <item m="1" x="71"/>
        <item m="1" x="2"/>
        <item m="1" x="62"/>
        <item m="1" x="29"/>
        <item m="1" x="87"/>
        <item m="1" x="83"/>
        <item m="1" x="157"/>
        <item m="1" x="77"/>
        <item m="1" x="151"/>
        <item m="1" x="7"/>
        <item m="1" x="73"/>
        <item m="1" x="121"/>
        <item m="1" x="39"/>
        <item m="1" x="32"/>
        <item m="1" x="89"/>
        <item m="1" x="104"/>
        <item m="1" x="98"/>
        <item m="1" x="92"/>
        <item m="1" x="132"/>
        <item m="1" x="60"/>
        <item m="1" x="124"/>
        <item m="1" x="54"/>
        <item m="1" x="49"/>
        <item m="1" x="108"/>
        <item m="1" x="25"/>
        <item m="1" x="44"/>
        <item m="1" x="100"/>
        <item m="1" x="140"/>
        <item m="1" x="47"/>
        <item m="1" x="63"/>
        <item m="1" x="119"/>
        <item m="1" x="38"/>
        <item m="1" x="52"/>
        <item m="1" x="78"/>
        <item m="1" x="152"/>
        <item m="1" x="74"/>
        <item m="1" x="66"/>
        <item m="1" x="81"/>
        <item m="1" x="68"/>
        <item m="1" x="133"/>
        <item m="1" x="61"/>
        <item m="1" x="55"/>
        <item m="1" x="116"/>
        <item m="1" x="50"/>
        <item m="1" x="45"/>
        <item m="1" x="56"/>
        <item m="1" x="69"/>
        <item m="1" x="134"/>
        <item m="1" x="145"/>
        <item m="1" x="131"/>
        <item m="1" x="46"/>
        <item m="1" x="122"/>
        <item m="1" x="113"/>
        <item m="1" x="33"/>
        <item m="1" x="105"/>
        <item m="1" x="9"/>
        <item m="1" x="147"/>
        <item m="1" x="70"/>
        <item m="1" x="135"/>
        <item m="1" x="153"/>
        <item m="1" x="18"/>
        <item m="1" x="11"/>
        <item m="1" x="75"/>
        <item m="1" x="72"/>
        <item m="1" x="141"/>
        <item m="1" x="23"/>
        <item m="1" x="64"/>
        <item m="1" x="15"/>
        <item m="1" x="30"/>
        <item m="1" x="88"/>
        <item m="1" x="136"/>
        <item m="1" x="21"/>
        <item m="1" x="84"/>
        <item m="1" x="158"/>
        <item m="1" x="125"/>
        <item m="1" x="13"/>
        <item m="1" x="79"/>
        <item m="1" x="154"/>
        <item m="1" x="90"/>
        <item m="1" x="8"/>
        <item m="1" x="109"/>
        <item m="1" x="86"/>
        <item m="1" x="12"/>
        <item m="1" x="34"/>
        <item m="1" x="6"/>
        <item m="1" x="142"/>
        <item m="1" x="106"/>
        <item m="1" x="3"/>
        <item m="1" x="16"/>
        <item m="1" x="155"/>
        <item m="1" x="93"/>
        <item m="1" x="126"/>
        <item m="1" x="40"/>
        <item x="0"/>
        <item t="default"/>
      </items>
    </pivotField>
    <pivotField dataField="1" showAll="0"/>
    <pivotField dataField="1" showAll="0"/>
    <pivotField dataField="1" showAll="0"/>
    <pivotField showAll="0"/>
    <pivotField showAll="0"/>
    <pivotField showAll="0"/>
  </pivotFields>
  <rowFields count="3">
    <field x="2"/>
    <field x="0"/>
    <field x="1"/>
  </rowFields>
  <rowItems count="2">
    <i>
      <x v="8"/>
    </i>
    <i t="grand">
      <x/>
    </i>
  </rowItems>
  <colFields count="1">
    <field x="-2"/>
  </colFields>
  <colItems count="3">
    <i>
      <x/>
    </i>
    <i i="1">
      <x v="1"/>
    </i>
    <i i="2">
      <x v="2"/>
    </i>
  </colItems>
  <pageFields count="1">
    <pageField fld="3" hier="-1"/>
  </pageFields>
  <dataFields count="3">
    <dataField name="Sum of Wins" fld="4" baseField="2" baseItem="5"/>
    <dataField name="Sum of Losses" fld="5" baseField="2" baseItem="5"/>
    <dataField name="Sum of Draws" fld="6" baseField="2"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wizards.com/Magic/PlaneswalkerPoints/History"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sheetPr codeName="Sheet4"/>
  <dimension ref="A1"/>
  <sheetViews>
    <sheetView workbookViewId="0"/>
  </sheetViews>
  <sheetFormatPr defaultRowHeight="12.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E16"/>
  <sheetViews>
    <sheetView tabSelected="1" workbookViewId="0">
      <selection activeCell="A15" sqref="A15"/>
    </sheetView>
  </sheetViews>
  <sheetFormatPr defaultRowHeight="12.75"/>
  <cols>
    <col min="1" max="1" width="23.42578125" customWidth="1"/>
    <col min="2" max="2" width="27.42578125" customWidth="1"/>
    <col min="3" max="3" width="26.85546875" customWidth="1"/>
    <col min="4" max="4" width="31" customWidth="1"/>
    <col min="5" max="5" width="60" customWidth="1"/>
  </cols>
  <sheetData>
    <row r="1" spans="1:5" ht="57.75" customHeight="1">
      <c r="A1" s="4" t="s">
        <v>6</v>
      </c>
      <c r="B1" s="14" t="s">
        <v>25</v>
      </c>
      <c r="C1" s="14"/>
      <c r="D1" s="5" t="s">
        <v>7</v>
      </c>
    </row>
    <row r="2" spans="1:5" ht="66" customHeight="1">
      <c r="A2" s="4" t="s">
        <v>4</v>
      </c>
      <c r="B2" s="16" t="s">
        <v>5</v>
      </c>
      <c r="C2" s="16"/>
    </row>
    <row r="3" spans="1:5" ht="14.25" customHeight="1">
      <c r="A3" s="4"/>
      <c r="B3" s="3"/>
      <c r="C3" s="3"/>
    </row>
    <row r="4" spans="1:5">
      <c r="A4" s="1" t="s">
        <v>2</v>
      </c>
      <c r="B4" s="12" t="s">
        <v>43</v>
      </c>
    </row>
    <row r="6" spans="1:5">
      <c r="A6" s="2" t="s">
        <v>3</v>
      </c>
    </row>
    <row r="8" spans="1:5" ht="52.5" customHeight="1">
      <c r="A8" s="4" t="s">
        <v>8</v>
      </c>
      <c r="B8" s="14" t="s">
        <v>9</v>
      </c>
      <c r="C8" s="14"/>
    </row>
    <row r="9" spans="1:5" ht="47.25" customHeight="1">
      <c r="A9" s="4" t="s">
        <v>10</v>
      </c>
      <c r="B9" s="17" t="s">
        <v>11</v>
      </c>
      <c r="C9" s="17"/>
    </row>
    <row r="10" spans="1:5" ht="47.25" customHeight="1">
      <c r="A10" s="4" t="s">
        <v>12</v>
      </c>
      <c r="B10" s="18" t="s">
        <v>54</v>
      </c>
      <c r="C10" s="18"/>
    </row>
    <row r="11" spans="1:5" ht="74.25" customHeight="1">
      <c r="A11" s="4" t="s">
        <v>13</v>
      </c>
      <c r="B11" s="14" t="s">
        <v>44</v>
      </c>
      <c r="C11" s="14"/>
      <c r="D11" s="6"/>
    </row>
    <row r="12" spans="1:5" ht="48" customHeight="1">
      <c r="A12" s="4" t="s">
        <v>14</v>
      </c>
      <c r="B12" s="11" t="s">
        <v>46</v>
      </c>
      <c r="C12" s="11" t="s">
        <v>45</v>
      </c>
    </row>
    <row r="13" spans="1:5" ht="45" customHeight="1">
      <c r="A13" s="4" t="s">
        <v>16</v>
      </c>
      <c r="B13" s="14" t="s">
        <v>15</v>
      </c>
      <c r="C13" s="14"/>
    </row>
    <row r="14" spans="1:5" ht="42.75" customHeight="1">
      <c r="A14" s="4" t="s">
        <v>17</v>
      </c>
      <c r="B14" s="15" t="s">
        <v>19</v>
      </c>
      <c r="C14" s="15"/>
    </row>
    <row r="15" spans="1:5" ht="42.75" customHeight="1">
      <c r="A15" s="4" t="s">
        <v>56</v>
      </c>
      <c r="B15" s="18" t="s">
        <v>57</v>
      </c>
      <c r="C15" s="18"/>
      <c r="D15" s="13" t="s">
        <v>58</v>
      </c>
      <c r="E15" s="19" t="s">
        <v>60</v>
      </c>
    </row>
    <row r="16" spans="1:5" ht="41.25" customHeight="1">
      <c r="A16" s="4" t="s">
        <v>55</v>
      </c>
      <c r="B16" s="15" t="s">
        <v>18</v>
      </c>
      <c r="C16" s="15"/>
    </row>
  </sheetData>
  <mergeCells count="10">
    <mergeCell ref="B13:C13"/>
    <mergeCell ref="B14:C14"/>
    <mergeCell ref="B16:C16"/>
    <mergeCell ref="B2:C2"/>
    <mergeCell ref="B1:C1"/>
    <mergeCell ref="B8:C8"/>
    <mergeCell ref="B9:C9"/>
    <mergeCell ref="B11:C11"/>
    <mergeCell ref="B10:C10"/>
    <mergeCell ref="B15:C15"/>
  </mergeCells>
  <hyperlinks>
    <hyperlink ref="A6" location="Instructions!A1" display="Generate Login Link:"/>
    <hyperlink ref="D1" location="Instructions!A1" display="Scrub Data"/>
    <hyperlink ref="B9:C9" r:id="rId1" location="type=EventsOnly" display="Open this hyperlink."/>
    <hyperlink ref="B14:C14" location="Instructions!A1" display="Click Here."/>
    <hyperlink ref="B16:C16" location="Instructions!A1" display="Generate Stats,"/>
    <hyperlink ref="D15" location="Instructions!A1" display="Show Data Page"/>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sheetPr codeName="Sheet8"/>
  <dimension ref="A1:I25"/>
  <sheetViews>
    <sheetView workbookViewId="0">
      <selection activeCell="F25" sqref="F25"/>
    </sheetView>
  </sheetViews>
  <sheetFormatPr defaultRowHeight="12.75"/>
  <cols>
    <col min="1" max="1" width="13.85546875" customWidth="1"/>
    <col min="2" max="2" width="12.42578125" customWidth="1"/>
    <col min="3" max="3" width="14.140625" customWidth="1"/>
    <col min="4" max="4" width="13.7109375" customWidth="1"/>
    <col min="6" max="6" width="11.7109375" customWidth="1"/>
    <col min="8" max="8" width="32.5703125" customWidth="1"/>
    <col min="9" max="9" width="21.140625" customWidth="1"/>
  </cols>
  <sheetData>
    <row r="1" spans="1:9">
      <c r="A1" s="7" t="s">
        <v>0</v>
      </c>
      <c r="B1" t="s">
        <v>47</v>
      </c>
    </row>
    <row r="3" spans="1:9">
      <c r="B3" s="7" t="s">
        <v>59</v>
      </c>
      <c r="H3" s="1" t="s">
        <v>49</v>
      </c>
      <c r="I3" s="10" t="s">
        <v>34</v>
      </c>
    </row>
    <row r="4" spans="1:9">
      <c r="A4" s="7" t="s">
        <v>35</v>
      </c>
      <c r="B4" t="s">
        <v>37</v>
      </c>
      <c r="C4" t="s">
        <v>38</v>
      </c>
      <c r="D4" t="s">
        <v>39</v>
      </c>
      <c r="H4" s="1" t="s">
        <v>40</v>
      </c>
      <c r="I4" t="e">
        <f>GETPIVOTDATA("Sum of Wins",$A$3)/(GETPIVOTDATA("Sum of Wins",$A$3)+GETPIVOTDATA("Sum of Losses",$A$3))*100</f>
        <v>#DIV/0!</v>
      </c>
    </row>
    <row r="5" spans="1:9">
      <c r="A5" s="8" t="s">
        <v>47</v>
      </c>
      <c r="B5" s="9"/>
      <c r="C5" s="9"/>
      <c r="D5" s="9"/>
      <c r="H5" s="1" t="s">
        <v>42</v>
      </c>
      <c r="I5" t="e">
        <f>GETPIVOTDATA("Sum of Wins",$A$3)/(GETPIVOTDATA("Sum of Wins",$A$3)+GETPIVOTDATA("Sum of Losses",$A$3)+GETPIVOTDATA("Sum of Draws",$A$3))*100</f>
        <v>#DIV/0!</v>
      </c>
    </row>
    <row r="6" spans="1:9">
      <c r="A6" s="8" t="s">
        <v>36</v>
      </c>
      <c r="B6" s="9"/>
      <c r="C6" s="9"/>
      <c r="D6" s="9"/>
    </row>
    <row r="7" spans="1:9">
      <c r="H7" s="1" t="s">
        <v>49</v>
      </c>
      <c r="I7" s="10" t="s">
        <v>48</v>
      </c>
    </row>
    <row r="8" spans="1:9">
      <c r="H8" s="1" t="s">
        <v>40</v>
      </c>
      <c r="I8" t="e">
        <f>GETPIVOTDATA("Sum of Wins",$A$3,"Event Type","Friday Night Magic")/(GETPIVOTDATA("Sum of Wins",$A$3,"Event Type","Friday Night Magic")+GETPIVOTDATA("Sum of Losses",$A$3,"Event Type","Friday Night Magic"))*100</f>
        <v>#REF!</v>
      </c>
    </row>
    <row r="9" spans="1:9">
      <c r="H9" s="1" t="s">
        <v>42</v>
      </c>
      <c r="I9" t="e">
        <f>GETPIVOTDATA("Sum of Wins",$A$3,"Event Type","Friday Night Magic")/(GETPIVOTDATA("Sum of Wins",$A$3,"Event Type","Friday Night Magic")+GETPIVOTDATA("Sum of Losses",$A$3,"Event Type","Friday Night Magic")+GETPIVOTDATA("Sum of Draws",$A$3,"Event Type","Friday Night Magic"))*100</f>
        <v>#REF!</v>
      </c>
    </row>
    <row r="11" spans="1:9">
      <c r="H11" s="1" t="s">
        <v>49</v>
      </c>
      <c r="I11" s="10" t="s">
        <v>50</v>
      </c>
    </row>
    <row r="12" spans="1:9">
      <c r="H12" s="1" t="s">
        <v>40</v>
      </c>
      <c r="I12" t="e">
        <f>GETPIVOTDATA("Sum of Wins",$A$3,"Event Type","Magic Grand Prix")/(GETPIVOTDATA("Sum of Wins",$A$3,"Event Type","Magic Grand Prix")+GETPIVOTDATA("Sum of Losses",$A$3,"Event Type","Magic Grand Prix"))*100</f>
        <v>#REF!</v>
      </c>
    </row>
    <row r="13" spans="1:9">
      <c r="H13" s="1" t="s">
        <v>42</v>
      </c>
      <c r="I13" t="e">
        <f>GETPIVOTDATA("Sum of Wins",$A$3,"Event Type","Magic Grand Prix")/(GETPIVOTDATA("Sum of Wins",$A$3,"Event Type","Magic Grand Prix")+GETPIVOTDATA("Sum of Losses",$A$3,"Event Type","Magic Grand Prix")+GETPIVOTDATA("Sum of Draws",$A$3,"Event Type","Magic Grand Prix"))*100</f>
        <v>#REF!</v>
      </c>
    </row>
    <row r="15" spans="1:9">
      <c r="H15" s="1" t="s">
        <v>49</v>
      </c>
      <c r="I15" s="10" t="s">
        <v>51</v>
      </c>
    </row>
    <row r="16" spans="1:9">
      <c r="H16" s="1" t="s">
        <v>40</v>
      </c>
      <c r="I16" t="e">
        <f>GETPIVOTDATA("Sum of Wins",$A$3,"Event Type","Magic WPN Premium Tournament")/(GETPIVOTDATA("Sum of Wins",$A$3,"Event Type","Magic WPN Premium Tournament")+GETPIVOTDATA("Sum of Losses",$A$3,"Event Type","Magic WPN Premium Tournament"))*100</f>
        <v>#REF!</v>
      </c>
    </row>
    <row r="17" spans="8:9">
      <c r="H17" s="1" t="s">
        <v>42</v>
      </c>
      <c r="I17" t="e">
        <f>GETPIVOTDATA("Sum of Wins",$A$3,"Event Type","Magic WPN Premium Tournament")/(GETPIVOTDATA("Sum of Wins",$A$3,"Event Type","Magic WPN Premium Tournament")+GETPIVOTDATA("Sum of Losses",$A$3,"Event Type","Magic WPN Premium Tournament")+GETPIVOTDATA("Sum of Draws",$A$3,"Event Type","Magic WPN Premium Tournament"))*100</f>
        <v>#REF!</v>
      </c>
    </row>
    <row r="19" spans="8:9">
      <c r="H19" s="1" t="s">
        <v>49</v>
      </c>
      <c r="I19" s="10" t="s">
        <v>52</v>
      </c>
    </row>
    <row r="20" spans="8:9">
      <c r="H20" s="1" t="s">
        <v>40</v>
      </c>
      <c r="I20" t="e">
        <f>GETPIVOTDATA("Sum of Wins",$A$3,"Event Type","Magic Pro Tour Qualifier")/(GETPIVOTDATA("Sum of Wins",$A$3,"Event Type","Magic Pro Tour Qualifier")+GETPIVOTDATA("Sum of Losses",$A$3,"Event Type","Magic Pro Tour Qualifier"))*100</f>
        <v>#REF!</v>
      </c>
    </row>
    <row r="21" spans="8:9">
      <c r="H21" s="1" t="s">
        <v>42</v>
      </c>
      <c r="I21" t="e">
        <f>GETPIVOTDATA("Sum of Wins",$A$3,"Event Type","Magic Pro Tour Qualifier")/(GETPIVOTDATA("Sum of Wins",$A$3,"Event Type","Magic Pro Tour Qualifier")+GETPIVOTDATA("Sum of Losses",$A$3,"Event Type","Magic Pro Tour Qualifier")+GETPIVOTDATA("Sum of Draws",$A$3,"Event Type","Magic Pro Tour Qualifier"))*100</f>
        <v>#REF!</v>
      </c>
    </row>
    <row r="23" spans="8:9">
      <c r="H23" s="1" t="s">
        <v>49</v>
      </c>
      <c r="I23" s="10" t="s">
        <v>53</v>
      </c>
    </row>
    <row r="24" spans="8:9">
      <c r="H24" s="1" t="s">
        <v>40</v>
      </c>
      <c r="I24" t="e">
        <f>GETPIVOTDATA("Sum of Wins",$A$3,"Event Type","Magic Pro Tour")/(GETPIVOTDATA("Sum of Wins",$A$3,"Event Type","Magic Pro Tour")+GETPIVOTDATA("Sum of Losses",$A$3,"Event Type","Magic Pro Tour"))*100</f>
        <v>#REF!</v>
      </c>
    </row>
    <row r="25" spans="8:9">
      <c r="H25" s="1" t="s">
        <v>42</v>
      </c>
      <c r="I25" t="e">
        <f>GETPIVOTDATA("Sum of Wins",$A$3,"Event Type","Magic Pro Tour")/(GETPIVOTDATA("Sum of Wins",$A$3,"Event Type","Magic Pro Tour")+GETPIVOTDATA("Sum of Losses",$A$3,"Event Type","Magic Pro Tour")+GETPIVOTDATA("Sum of Draws",$A$3,"Event Type","Magic Pro Tour"))*100</f>
        <v>#REF!</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3"/>
  <dimension ref="A1:I25"/>
  <sheetViews>
    <sheetView workbookViewId="0">
      <selection activeCell="A2" sqref="A2"/>
    </sheetView>
  </sheetViews>
  <sheetFormatPr defaultRowHeight="12.75"/>
  <cols>
    <col min="1" max="1" width="13.85546875" customWidth="1"/>
    <col min="2" max="2" width="12.42578125" customWidth="1"/>
    <col min="3" max="3" width="14.140625" customWidth="1"/>
    <col min="4" max="4" width="13.7109375" customWidth="1"/>
    <col min="5" max="5" width="13.85546875" customWidth="1"/>
    <col min="6" max="6" width="11.5703125" customWidth="1"/>
    <col min="7" max="7" width="7.7109375" customWidth="1"/>
    <col min="8" max="8" width="33.85546875" customWidth="1"/>
    <col min="9" max="9" width="20.42578125" customWidth="1"/>
    <col min="10" max="10" width="12" customWidth="1"/>
    <col min="11" max="11" width="11.28515625" customWidth="1"/>
    <col min="12" max="12" width="13.5703125" customWidth="1"/>
    <col min="13" max="13" width="11.7109375" bestFit="1" customWidth="1"/>
  </cols>
  <sheetData>
    <row r="1" spans="1:9">
      <c r="A1" s="7" t="s">
        <v>0</v>
      </c>
      <c r="B1" t="s">
        <v>47</v>
      </c>
    </row>
    <row r="3" spans="1:9">
      <c r="B3" s="7" t="s">
        <v>59</v>
      </c>
      <c r="H3" s="1" t="s">
        <v>41</v>
      </c>
      <c r="I3" s="10" t="s">
        <v>34</v>
      </c>
    </row>
    <row r="4" spans="1:9">
      <c r="A4" s="7" t="s">
        <v>35</v>
      </c>
      <c r="B4" t="s">
        <v>37</v>
      </c>
      <c r="C4" t="s">
        <v>38</v>
      </c>
      <c r="D4" t="s">
        <v>39</v>
      </c>
      <c r="H4" s="1" t="s">
        <v>40</v>
      </c>
      <c r="I4" t="e">
        <f>GETPIVOTDATA("Sum of Wins",$A$3)/(GETPIVOTDATA("Sum of Wins",$A$3)+GETPIVOTDATA("Sum of Losses",$A$3))*100</f>
        <v>#DIV/0!</v>
      </c>
    </row>
    <row r="5" spans="1:9">
      <c r="A5" s="8" t="s">
        <v>47</v>
      </c>
      <c r="B5" s="9"/>
      <c r="C5" s="9"/>
      <c r="D5" s="9"/>
      <c r="H5" s="1" t="s">
        <v>42</v>
      </c>
      <c r="I5" t="e">
        <f>GETPIVOTDATA("Sum of Wins",$A$3)/(GETPIVOTDATA("Sum of Wins",$A$3)+GETPIVOTDATA("Sum of Losses",$A$3)+GETPIVOTDATA("Sum of Draws",$A$3))*100</f>
        <v>#DIV/0!</v>
      </c>
    </row>
    <row r="6" spans="1:9">
      <c r="A6" s="8" t="s">
        <v>36</v>
      </c>
      <c r="B6" s="9"/>
      <c r="C6" s="9"/>
      <c r="D6" s="9"/>
    </row>
    <row r="7" spans="1:9">
      <c r="H7" s="1" t="s">
        <v>41</v>
      </c>
      <c r="I7" s="10" t="s">
        <v>23</v>
      </c>
    </row>
    <row r="8" spans="1:9">
      <c r="H8" s="1" t="s">
        <v>40</v>
      </c>
      <c r="I8" t="e">
        <f>GETPIVOTDATA("Sum of Wins",$A$3,"Format","Legacy")/(GETPIVOTDATA("Sum of Wins",$A$3,"Format","Legacy")+GETPIVOTDATA("Sum of Losses",$A$3,"Format","Legacy"))*100</f>
        <v>#REF!</v>
      </c>
    </row>
    <row r="9" spans="1:9">
      <c r="H9" s="1" t="s">
        <v>42</v>
      </c>
      <c r="I9" t="e">
        <f>GETPIVOTDATA("Sum of Wins",$A$3,"Format","Legacy")/(GETPIVOTDATA("Sum of Wins",$A$3,"Format","Legacy")+GETPIVOTDATA("Sum of Losses",$A$3,"Format","Legacy")+GETPIVOTDATA("Sum of Draws",$A$3,"Format","Legacy"))*100</f>
        <v>#REF!</v>
      </c>
    </row>
    <row r="11" spans="1:9">
      <c r="H11" s="1" t="s">
        <v>41</v>
      </c>
      <c r="I11" s="10" t="s">
        <v>20</v>
      </c>
    </row>
    <row r="12" spans="1:9">
      <c r="H12" s="1" t="s">
        <v>40</v>
      </c>
      <c r="I12" t="e">
        <f>GETPIVOTDATA("Sum of Wins",$A$3,"Format","Modern")/(GETPIVOTDATA("Sum of Wins",$A$3,"Format","Modern")+GETPIVOTDATA("Sum of Losses",$A$3,"Format","Modern"))*100</f>
        <v>#REF!</v>
      </c>
    </row>
    <row r="13" spans="1:9">
      <c r="H13" s="1" t="s">
        <v>42</v>
      </c>
      <c r="I13" t="e">
        <f>GETPIVOTDATA("Sum of Wins",$A$3,"Format","Modern")/(GETPIVOTDATA("Sum of Wins",$A$3,"Format","Modern")+GETPIVOTDATA("Sum of Losses",$A$3,"Format","Modern")+GETPIVOTDATA("Sum of Draws",$A$3,"Format","Modern"))*100</f>
        <v>#REF!</v>
      </c>
    </row>
    <row r="15" spans="1:9">
      <c r="H15" s="1" t="s">
        <v>41</v>
      </c>
      <c r="I15" s="10" t="s">
        <v>21</v>
      </c>
    </row>
    <row r="16" spans="1:9">
      <c r="H16" s="1" t="s">
        <v>40</v>
      </c>
      <c r="I16" t="e">
        <f>GETPIVOTDATA("Sum of Wins",$A$3,"Format","Standard")/(GETPIVOTDATA("Sum of Wins",$A$3,"Format","Standard")+GETPIVOTDATA("Sum of Losses",$A$3,"Format","Standard"))*100</f>
        <v>#REF!</v>
      </c>
    </row>
    <row r="17" spans="8:9">
      <c r="H17" s="1" t="s">
        <v>42</v>
      </c>
      <c r="I17" t="e">
        <f>GETPIVOTDATA("Sum of Wins",$A$3,"Format","Standard")/(GETPIVOTDATA("Sum of Wins",$A$3,"Format","Standard")+GETPIVOTDATA("Sum of Losses",$A$3,"Format","Standard")+GETPIVOTDATA("Sum of Draws",$A$3,"Format","Standard"))*100</f>
        <v>#REF!</v>
      </c>
    </row>
    <row r="19" spans="8:9">
      <c r="H19" s="1" t="s">
        <v>41</v>
      </c>
      <c r="I19" s="10" t="s">
        <v>22</v>
      </c>
    </row>
    <row r="20" spans="8:9">
      <c r="H20" s="1" t="s">
        <v>40</v>
      </c>
      <c r="I20" t="e">
        <f>GETPIVOTDATA("Sum of Wins",$A$3,"Format","Sealed")/(GETPIVOTDATA("Sum of Wins",$A$3,"Format","Sealed")+GETPIVOTDATA("Sum of Losses",$A$3,"Format","Sealed"))*100</f>
        <v>#REF!</v>
      </c>
    </row>
    <row r="21" spans="8:9">
      <c r="H21" s="1" t="s">
        <v>42</v>
      </c>
      <c r="I21" t="e">
        <f>GETPIVOTDATA("Sum of Wins",$A$3,"Format","Sealed")/(GETPIVOTDATA("Sum of Wins",$A$3,"Format","Sealed")+GETPIVOTDATA("Sum of Losses",$A$3,"Format","Sealed")+GETPIVOTDATA("Sum of Draws",$A$3,"Format","Sealed"))*100</f>
        <v>#REF!</v>
      </c>
    </row>
    <row r="23" spans="8:9">
      <c r="H23" s="1" t="s">
        <v>41</v>
      </c>
      <c r="I23" s="10" t="s">
        <v>24</v>
      </c>
    </row>
    <row r="24" spans="8:9">
      <c r="H24" s="1" t="s">
        <v>40</v>
      </c>
      <c r="I24" t="e">
        <f>GETPIVOTDATA("Sum of Wins",$A$3,"Format","Booster Draft")/(GETPIVOTDATA("Sum of Wins",$A$3,"Format","Booster Draft")+GETPIVOTDATA("Sum of Losses",$A$3,"Format","Booster Draft"))*100</f>
        <v>#REF!</v>
      </c>
    </row>
    <row r="25" spans="8:9">
      <c r="H25" s="1" t="s">
        <v>42</v>
      </c>
      <c r="I25" t="e">
        <f>GETPIVOTDATA("Sum of Wins",$A$3,"Format","Booster Draft")/(GETPIVOTDATA("Sum of Wins",$A$3,"Format","Booster Draft")+GETPIVOTDATA("Sum of Losses",$A$3,"Format","Booster Draft")+GETPIVOTDATA("Sum of Draws",$A$3,"Format","Booster Draft"))*100</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
  <dimension ref="A1:J1"/>
  <sheetViews>
    <sheetView workbookViewId="0">
      <selection activeCell="A2" sqref="A2:J165"/>
    </sheetView>
  </sheetViews>
  <sheetFormatPr defaultRowHeight="12.75"/>
  <cols>
    <col min="1" max="1" width="30" bestFit="1" customWidth="1"/>
    <col min="2" max="2" width="35.28515625" customWidth="1"/>
    <col min="3" max="3" width="18.7109375" bestFit="1" customWidth="1"/>
    <col min="4" max="4" width="19.140625" customWidth="1"/>
    <col min="5" max="5" width="7.7109375" bestFit="1" customWidth="1"/>
    <col min="6" max="6" width="9.28515625" bestFit="1" customWidth="1"/>
    <col min="7" max="7" width="8.85546875" bestFit="1" customWidth="1"/>
    <col min="8" max="8" width="20.28515625" bestFit="1" customWidth="1"/>
    <col min="9" max="9" width="8.42578125" bestFit="1" customWidth="1"/>
    <col min="10" max="10" width="33.140625" bestFit="1" customWidth="1"/>
    <col min="11" max="11" width="13" customWidth="1"/>
    <col min="12" max="12" width="11.5703125" customWidth="1"/>
  </cols>
  <sheetData>
    <row r="1" spans="1:10" s="1" customFormat="1">
      <c r="A1" s="1" t="s">
        <v>26</v>
      </c>
      <c r="B1" s="1" t="s">
        <v>33</v>
      </c>
      <c r="C1" s="1" t="s">
        <v>28</v>
      </c>
      <c r="D1" s="1" t="s">
        <v>0</v>
      </c>
      <c r="E1" s="1" t="s">
        <v>30</v>
      </c>
      <c r="F1" s="1" t="s">
        <v>31</v>
      </c>
      <c r="G1" s="1" t="s">
        <v>32</v>
      </c>
      <c r="H1" s="1" t="s">
        <v>27</v>
      </c>
      <c r="I1" s="1" t="s">
        <v>29</v>
      </c>
      <c r="J1" s="1" t="s">
        <v>1</v>
      </c>
    </row>
  </sheetData>
  <autoFilter ref="A1:L165">
    <sortState ref="A2:J165">
      <sortCondition descending="1" ref="D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Instructions</vt:lpstr>
      <vt:lpstr>Stats by Event Type</vt:lpstr>
      <vt:lpstr>Stats by Format</vt:lpstr>
      <vt:lpstr>Formatted Data</vt:lpstr>
    </vt:vector>
  </TitlesOfParts>
  <Company>State Farm Insurance Companies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User</dc:creator>
  <cp:lastModifiedBy>MATRIXBK</cp:lastModifiedBy>
  <dcterms:created xsi:type="dcterms:W3CDTF">2013-08-08T13:17:46Z</dcterms:created>
  <dcterms:modified xsi:type="dcterms:W3CDTF">2013-08-21T01:07:09Z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1740507860</vt:i4>
  </property>
  <property fmtid="{D5CDD505-2E9C-101B-9397-08002B2CF9AE}" pid="3" name="_NewReviewCycle">
    <vt:lpwstr/>
  </property>
  <property fmtid="{D5CDD505-2E9C-101B-9397-08002B2CF9AE}" pid="4" name="_EmailSubject">
    <vt:lpwstr>Stats</vt:lpwstr>
  </property>
  <property fmtid="{D5CDD505-2E9C-101B-9397-08002B2CF9AE}" pid="5" name="_AuthorEmail">
    <vt:lpwstr>jeff.hoogland.t4mt@statefarm.com</vt:lpwstr>
  </property>
  <property fmtid="{D5CDD505-2E9C-101B-9397-08002B2CF9AE}" pid="6" name="_AuthorEmailDisplayName">
    <vt:lpwstr>Jeff Hoogland</vt:lpwstr>
  </property>
  <property fmtid="{D5CDD505-2E9C-101B-9397-08002B2CF9AE}" pid="7" name="_ReviewingToolsShownOnce">
    <vt:lpwstr/>
  </property>
</Properties>
</file>