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xl/pivotCache/pivotCacheDefinition1.xml" ContentType="application/vnd.openxmlformats-officedocument.spreadsheetml.pivotCacheDefinition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3395" windowHeight="11760" firstSheet="1" activeTab="1"/>
  </bookViews>
  <sheets>
    <sheet name="Raw Data" sheetId="23" state="hidden" r:id="rId1"/>
    <sheet name="Instructions" sheetId="2" r:id="rId2"/>
    <sheet name="Stats by Event Type" sheetId="20" r:id="rId3"/>
    <sheet name="Stats by Format" sheetId="3" r:id="rId4"/>
    <sheet name="Formatted Data" sheetId="8" r:id="rId5"/>
  </sheets>
  <definedNames>
    <definedName name="_xlnm._FilterDatabase" localSheetId="4" hidden="1">'Formatted Data'!$A$1:$L$165</definedName>
  </definedNames>
  <calcPr calcId="145621"/>
  <pivotCaches>
    <pivotCache cacheId="144" r:id="rId6"/>
  </pivotCaches>
</workbook>
</file>

<file path=xl/calcChain.xml><?xml version="1.0" encoding="utf-8"?>
<calcChain xmlns="http://schemas.openxmlformats.org/spreadsheetml/2006/main">
  <c r="I21" i="20" l="1"/>
  <c r="I13" i="20"/>
  <c r="I4" i="20"/>
  <c r="I16" i="3"/>
  <c r="I13" i="3"/>
  <c r="I8" i="3"/>
  <c r="I20" i="20"/>
  <c r="I12" i="20"/>
  <c r="I5" i="20"/>
  <c r="I21" i="3"/>
  <c r="I4" i="3"/>
  <c r="I9" i="3"/>
  <c r="I17" i="20"/>
  <c r="I9" i="20"/>
  <c r="I24" i="3"/>
  <c r="I25" i="3"/>
  <c r="I20" i="3"/>
  <c r="I16" i="20"/>
  <c r="I8" i="20"/>
  <c r="I12" i="3"/>
  <c r="I17" i="3"/>
  <c r="I5" i="3"/>
</calcChain>
</file>

<file path=xl/sharedStrings.xml><?xml version="1.0" encoding="utf-8"?>
<sst xmlns="http://schemas.openxmlformats.org/spreadsheetml/2006/main" count="98" uniqueCount="55">
  <si>
    <t>Date</t>
  </si>
  <si>
    <t>Location</t>
  </si>
  <si>
    <t>DCI Number:</t>
  </si>
  <si>
    <t>Generate Login Link:</t>
  </si>
  <si>
    <t>Step 1:</t>
  </si>
  <si>
    <t>Enter your DIC number below, then click "Generate Login Link"</t>
  </si>
  <si>
    <t>Step 0:</t>
  </si>
  <si>
    <t>Scrub Data</t>
  </si>
  <si>
    <t>Step 2:</t>
  </si>
  <si>
    <t>Click on the Login Link above and enter your password for your DCI number.</t>
  </si>
  <si>
    <t>Step 3:</t>
  </si>
  <si>
    <t>Open this hyperlink.</t>
  </si>
  <si>
    <t>Step 4:</t>
  </si>
  <si>
    <t>Step 5:</t>
  </si>
  <si>
    <t>Step 6:</t>
  </si>
  <si>
    <t>Select all the data on the web page with ctrl+a and then copy it with ctrl+c</t>
  </si>
  <si>
    <t>Step 7:</t>
  </si>
  <si>
    <t>Step 8:</t>
  </si>
  <si>
    <t>Generate Stats,</t>
  </si>
  <si>
    <t>Click here to import from clipboard.</t>
  </si>
  <si>
    <t>Modern</t>
  </si>
  <si>
    <t>Standard</t>
  </si>
  <si>
    <t>Sealed</t>
  </si>
  <si>
    <t>Legacy</t>
  </si>
  <si>
    <t>Booster Draft</t>
  </si>
  <si>
    <t>If you've used this workbook before, be sure to scrub the old data before running again.</t>
  </si>
  <si>
    <t>Event Type</t>
  </si>
  <si>
    <t>Number of Players</t>
  </si>
  <si>
    <t>Format</t>
  </si>
  <si>
    <t>Place</t>
  </si>
  <si>
    <t>Wins</t>
  </si>
  <si>
    <t>Losses</t>
  </si>
  <si>
    <t>Draws</t>
  </si>
  <si>
    <t>Event TO</t>
  </si>
  <si>
    <t>All</t>
  </si>
  <si>
    <t>Row Labels</t>
  </si>
  <si>
    <t>Grand Total</t>
  </si>
  <si>
    <t>Sum of Wins</t>
  </si>
  <si>
    <t>Sum of Losses</t>
  </si>
  <si>
    <t>Sum of Draws</t>
  </si>
  <si>
    <t>Win Percentage (without draws):</t>
  </si>
  <si>
    <t>Format:</t>
  </si>
  <si>
    <t>Win Percentage (with draws):</t>
  </si>
  <si>
    <t>Enter DCI Number Here</t>
  </si>
  <si>
    <t>Open your browser's developer console.
Google Chrome: ctrl+shift+j
Firefox: ctrl+shift+k
Internet Explorer: F12, then click "console"</t>
  </si>
  <si>
    <t>$("a.Expand").click()</t>
  </si>
  <si>
    <t>In the console enter:</t>
  </si>
  <si>
    <t>(blank)</t>
  </si>
  <si>
    <t>Friday Night Magic</t>
  </si>
  <si>
    <t>Event Type:</t>
  </si>
  <si>
    <t>Grand Prix</t>
  </si>
  <si>
    <t>Magic WPN Premium</t>
  </si>
  <si>
    <t>Magic PTQ</t>
  </si>
  <si>
    <t>Pro Tour</t>
  </si>
  <si>
    <t>#Never played on one of these, not sure what it is called on the event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</si>
</sst>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i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0" applyFont="1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right"/>
    </xf>
    <xf numFmtId="0" fontId="0" fillId="0" borderId="0" xfId="0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ized User" refreshedDate="41495.383435648146" createdVersion="4" refreshedVersion="4" minRefreshableVersion="3" recordCount="165">
  <cacheSource type="worksheet">
    <worksheetSource ref="A1:J1048576" sheet="Formatted Data"/>
  </cacheSource>
  <cacheFields count="10">
    <cacheField name="Event Type" numFmtId="0">
      <sharedItems containsNonDate="0" containsBlank="1" count="14">
        <m/>
        <s v="Friday Night Magic" u="1"/>
        <s v="Magic Game Day" u="1"/>
        <s v="Magic Prerelease" u="1"/>
        <s v="Magic Casual Event" u="1"/>
        <s v="Public Event at Grand Prix" u="1"/>
        <s v="Magic Celebration" u="1"/>
        <s v="Magic Pro Tour Qualifier" u="1"/>
        <s v="Magic Grand Prix Trial" u="1"/>
        <s v="Magic WPN Premium Tournament" u="1"/>
        <s v="8 players Side Events" u="1"/>
        <s v="Magic Grand Prix" u="1"/>
        <s v="Magic Tournament" u="1"/>
        <s v="World Magic Cup Qualifier" u="1"/>
      </sharedItems>
    </cacheField>
    <cacheField name="Event TO" numFmtId="0">
      <sharedItems containsNonDate="0" containsBlank="1" count="30">
        <m/>
        <s v="Tenth Planet" u="1"/>
        <s v="Xtreme Games" u="1"/>
        <s v="Sharonville Convention Center" u="1"/>
        <s v="Navy Pier" u="1"/>
        <s v="Gryfalia's Aerie" u="1"/>
        <s v="Des Moines Marriott Downtown" u="1"/>
        <s v="Overland Park Convention Center" u="1"/>
        <s v="Hobby Horse" u="1"/>
        <s v="Kansas City Convention Center" u="1"/>
        <s v="Nashville Convention Center" u="1"/>
        <s v="Pastimes" u="1"/>
        <s v="Yeti Gaming" u="1"/>
        <s v="Odeum Expo Center" u="1"/>
        <s v="Gamerz" u="1"/>
        <s v="Gamestorm" u="1"/>
        <s v="Off On The Square" u="1"/>
        <s v="JW Marriott, Griffin Hall" u="1"/>
        <s v="Century Center" u="1"/>
        <s v="Greater Columbus Convention Center" u="1"/>
        <s v="Cashman Center" u="1"/>
        <s v="Gwinnett Center" u="1"/>
        <s v="Indiana Convention Center" u="1"/>
        <s v="Gateway Center" u="1"/>
        <s v="Frontier Airlines Center" u="1"/>
        <s v="Garden State Exhibition Center" u="1"/>
        <s v="Alliant Energy Center" u="1"/>
        <s v="Crowne Plaza Hotel Chicago O’Hare" u="1"/>
        <s v="Fantasy Shop, The - St Charles" u="1"/>
        <s v="Lucas Oil Stadium" u="1"/>
      </sharedItems>
    </cacheField>
    <cacheField name="Format" numFmtId="0">
      <sharedItems containsNonDate="0" containsBlank="1" count="9">
        <m/>
        <s v="Legacy" u="1"/>
        <s v="2 HG Sealed" u="1"/>
        <s v="Booster Draft" u="1"/>
        <s v="Modern" u="1"/>
        <s v="Standard" u="1"/>
        <s v="Sealed" u="1"/>
        <s v="Casual - Constructed" u="1"/>
        <s v="Casual - Limited" u="1"/>
      </sharedItems>
    </cacheField>
    <cacheField name="Date" numFmtId="0">
      <sharedItems containsNonDate="0" containsDate="1" containsString="0" containsBlank="1" minDate="2011-03-05T00:00:00" maxDate="2013-08-05T00:00:00" count="159">
        <m/>
        <d v="2011-09-25T00:00:00" u="1"/>
        <d v="2012-06-29T00:00:00" u="1"/>
        <d v="2013-07-15T00:00:00" u="1"/>
        <d v="2011-07-08T00:00:00" u="1"/>
        <d v="2012-06-03T00:00:00" u="1"/>
        <d v="2013-07-08T00:00:00" u="1"/>
        <d v="2012-07-27T00:00:00" u="1"/>
        <d v="2013-06-22T00:00:00" u="1"/>
        <d v="2013-04-05T00:00:00" u="1"/>
        <d v="2012-06-15T00:00:00" u="1"/>
        <d v="2013-05-10T00:00:00" u="1"/>
        <d v="2013-07-01T00:00:00" u="1"/>
        <d v="2013-06-15T00:00:00" u="1"/>
        <d v="2011-09-30T00:00:00" u="1"/>
        <d v="2013-05-29T00:00:00" u="1"/>
        <d v="2013-07-20T00:00:00" u="1"/>
        <d v="2012-06-08T00:00:00" u="1"/>
        <d v="2013-05-03T00:00:00" u="1"/>
        <d v="2011-03-05T00:00:00" u="1"/>
        <d v="2012-03-31T00:00:00" u="1"/>
        <d v="2013-06-08T00:00:00" u="1"/>
        <d v="2011-09-23T00:00:00" u="1"/>
        <d v="2013-05-22T00:00:00" u="1"/>
        <d v="2011-10-28T00:00:00" u="1"/>
        <d v="2012-09-23T00:00:00" u="1"/>
        <d v="2011-04-29T00:00:00" u="1"/>
        <d v="2011-10-02T00:00:00" u="1"/>
        <d v="2012-03-24T00:00:00" u="1"/>
        <d v="2012-07-06T00:00:00" u="1"/>
        <d v="2013-06-01T00:00:00" u="1"/>
        <d v="2011-09-16T00:00:00" u="1"/>
        <d v="2012-08-11T00:00:00" u="1"/>
        <d v="2013-03-24T00:00:00" u="1"/>
        <d v="2013-07-06T00:00:00" u="1"/>
        <d v="2011-10-21T00:00:00" u="1"/>
        <d v="2012-02-12T00:00:00" u="1"/>
        <d v="2011-04-22T00:00:00" u="1"/>
        <d v="2012-10-21T00:00:00" u="1"/>
        <d v="2012-08-04T00:00:00" u="1"/>
        <d v="2013-08-04T00:00:00" u="1"/>
        <d v="2012-03-10T00:00:00" u="1"/>
        <d v="2011-09-02T00:00:00" u="1"/>
        <d v="2012-02-24T00:00:00" u="1"/>
        <d v="2012-09-28T00:00:00" u="1"/>
        <d v="2013-01-19T00:00:00" u="1"/>
        <d v="2013-03-10T00:00:00" u="1"/>
        <d v="2012-10-07T00:00:00" u="1"/>
        <d v="2012-04-08T00:00:00" u="1"/>
        <d v="2012-09-21T00:00:00" u="1"/>
        <d v="2013-01-12T00:00:00" u="1"/>
        <d v="2012-05-13T00:00:00" u="1"/>
        <d v="2012-10-26T00:00:00" u="1"/>
        <d v="2012-04-27T00:00:00" u="1"/>
        <d v="2012-09-14T00:00:00" u="1"/>
        <d v="2013-01-05T00:00:00" u="1"/>
        <d v="2013-02-10T00:00:00" u="1"/>
        <d v="2012-04-20T00:00:00" u="1"/>
        <d v="2011-12-03T00:00:00" u="1"/>
        <d v="2012-02-03T00:00:00" u="1"/>
        <d v="2012-09-07T00:00:00" u="1"/>
        <d v="2012-12-29T00:00:00" u="1"/>
        <d v="2012-06-30T00:00:00" u="1"/>
        <d v="2012-10-12T00:00:00" u="1"/>
        <d v="2013-05-25T00:00:00" u="1"/>
        <d v="2012-04-13T00:00:00" u="1"/>
        <d v="2012-11-17T00:00:00" u="1"/>
        <d v="2012-05-18T00:00:00" u="1"/>
        <d v="2012-12-22T00:00:00" u="1"/>
        <d v="2013-02-22T00:00:00" u="1"/>
        <d v="2013-04-13T00:00:00" u="1"/>
        <d v="2012-06-23T00:00:00" u="1"/>
        <d v="2013-05-18T00:00:00" u="1"/>
        <d v="2012-07-28T00:00:00" u="1"/>
        <d v="2012-11-10T00:00:00" u="1"/>
        <d v="2013-05-11T00:00:00" u="1"/>
        <d v="2011-08-26T00:00:00" u="1"/>
        <d v="2012-07-21T00:00:00" u="1"/>
        <d v="2012-11-03T00:00:00" u="1"/>
        <d v="2013-06-16T00:00:00" u="1"/>
        <d v="2012-05-04T00:00:00" u="1"/>
        <d v="2012-12-08T00:00:00" u="1"/>
        <d v="2012-06-09T00:00:00" u="1"/>
        <d v="2012-07-14T00:00:00" u="1"/>
        <d v="2013-06-09T00:00:00" u="1"/>
        <d v="2012-06-02T00:00:00" u="1"/>
        <d v="2013-06-28T00:00:00" u="1"/>
        <d v="2012-07-07T00:00:00" u="1"/>
        <d v="2013-06-02T00:00:00" u="1"/>
        <d v="2012-08-12T00:00:00" u="1"/>
        <d v="2013-06-21T00:00:00" u="1"/>
        <d v="2012-01-27T00:00:00" u="1"/>
        <d v="2012-08-31T00:00:00" u="1"/>
        <d v="2013-07-26T00:00:00" u="1"/>
        <d v="2011-09-10T00:00:00" u="1"/>
        <d v="2011-03-11T00:00:00" u="1"/>
        <d v="2011-10-15T00:00:00" u="1"/>
        <d v="2012-01-20T00:00:00" u="1"/>
        <d v="2012-08-24T00:00:00" u="1"/>
        <d v="2012-02-25T00:00:00" u="1"/>
        <d v="2012-09-29T00:00:00" u="1"/>
        <d v="2011-10-08T00:00:00" u="1"/>
        <d v="2012-03-30T00:00:00" u="1"/>
        <d v="2012-01-13T00:00:00" u="1"/>
        <d v="2012-08-17T00:00:00" u="1"/>
        <d v="2013-03-30T00:00:00" u="1"/>
        <d v="2013-07-12T00:00:00" u="1"/>
        <d v="2012-02-18T00:00:00" u="1"/>
        <d v="2012-09-22T00:00:00" u="1"/>
        <d v="2013-06-26T00:00:00" u="1"/>
        <d v="2012-03-23T00:00:00" u="1"/>
        <d v="2012-01-06T00:00:00" u="1"/>
        <d v="2012-04-28T00:00:00" u="1"/>
        <d v="2013-03-23T00:00:00" u="1"/>
        <d v="2011-05-07T00:00:00" u="1"/>
        <d v="2012-02-11T00:00:00" u="1"/>
        <d v="2013-01-06T00:00:00" u="1"/>
        <d v="2011-11-25T00:00:00" u="1"/>
        <d v="2012-03-16T00:00:00" u="1"/>
        <d v="2012-10-20T00:00:00" u="1"/>
        <d v="2011-12-30T00:00:00" u="1"/>
        <d v="2012-08-03T00:00:00" u="1"/>
        <d v="2013-03-16T00:00:00" u="1"/>
        <d v="2012-02-04T00:00:00" u="1"/>
        <d v="2012-09-08T00:00:00" u="1"/>
        <d v="2013-06-12T00:00:00" u="1"/>
        <d v="2013-08-03T00:00:00" u="1"/>
        <d v="2011-11-18T00:00:00" u="1"/>
        <d v="2012-03-09T00:00:00" u="1"/>
        <d v="2011-12-23T00:00:00" u="1"/>
        <d v="2012-04-14T00:00:00" u="1"/>
        <d v="2013-03-09T00:00:00" u="1"/>
        <d v="2012-09-01T00:00:00" u="1"/>
        <d v="2012-12-23T00:00:00" u="1"/>
        <d v="2013-02-23T00:00:00" u="1"/>
        <d v="2013-04-14T00:00:00" u="1"/>
        <d v="2013-06-05T00:00:00" u="1"/>
        <d v="2011-07-29T00:00:00" u="1"/>
        <d v="2011-11-11T00:00:00" u="1"/>
        <d v="2012-03-02T00:00:00" u="1"/>
        <d v="2012-10-06T00:00:00" u="1"/>
        <d v="2013-05-19T00:00:00" u="1"/>
        <d v="2013-07-10T00:00:00" u="1"/>
        <d v="2011-12-16T00:00:00" u="1"/>
        <d v="2012-04-07T00:00:00" u="1"/>
        <d v="2013-03-02T00:00:00" u="1"/>
        <d v="2012-05-12T00:00:00" u="1"/>
        <d v="2013-04-07T00:00:00" u="1"/>
        <d v="2011-11-04T00:00:00" u="1"/>
        <d v="2012-06-17T00:00:00" u="1"/>
        <d v="2011-12-09T00:00:00" u="1"/>
        <d v="2012-07-22T00:00:00" u="1"/>
        <d v="2012-11-04T00:00:00" u="1"/>
        <d v="2013-04-26T00:00:00" u="1"/>
        <d v="2013-06-17T00:00:00" u="1"/>
        <d v="2013-07-22T00:00:00" u="1"/>
        <d v="2011-12-02T00:00:00" u="1"/>
        <d v="2012-07-15T00:00:00" u="1"/>
        <d v="2013-06-10T00:00:00" u="1"/>
      </sharedItems>
    </cacheField>
    <cacheField name="Wins" numFmtId="0">
      <sharedItems containsNonDate="0" containsString="0" containsBlank="1"/>
    </cacheField>
    <cacheField name="Losses" numFmtId="0">
      <sharedItems containsNonDate="0" containsString="0" containsBlank="1"/>
    </cacheField>
    <cacheField name="Draws" numFmtId="0">
      <sharedItems containsNonDate="0" containsString="0" containsBlank="1"/>
    </cacheField>
    <cacheField name="Number of Players" numFmtId="0">
      <sharedItems containsNonDate="0" containsString="0" containsBlank="1"/>
    </cacheField>
    <cacheField name="Place" numFmtId="0">
      <sharedItems containsNonDate="0" containsString="0" containsBlank="1"/>
    </cacheField>
    <cacheField name="Locati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5"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4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5" firstHeaderRow="0" firstDataRow="1" firstDataCol="1" rowPageCount="1" colPageCount="1"/>
  <pivotFields count="10">
    <pivotField axis="axisRow" showAll="0">
      <items count="15">
        <item sd="0" m="1" x="10"/>
        <item sd="0" m="1" x="1"/>
        <item sd="0" m="1" x="4"/>
        <item sd="0" m="1" x="6"/>
        <item sd="0" m="1" x="2"/>
        <item sd="0" m="1" x="11"/>
        <item sd="0" m="1" x="8"/>
        <item sd="0" m="1" x="3"/>
        <item sd="0" m="1" x="7"/>
        <item sd="0" m="1" x="12"/>
        <item sd="0" m="1" x="9"/>
        <item sd="0" m="1" x="5"/>
        <item sd="0" m="1" x="13"/>
        <item sd="0" x="0"/>
        <item t="default"/>
      </items>
    </pivotField>
    <pivotField axis="axisRow" showAll="0">
      <items count="31">
        <item m="1" x="26"/>
        <item m="1" x="20"/>
        <item m="1" x="18"/>
        <item m="1" x="27"/>
        <item m="1" x="6"/>
        <item m="1" x="28"/>
        <item m="1" x="24"/>
        <item m="1" x="14"/>
        <item m="1" x="15"/>
        <item m="1" x="25"/>
        <item m="1" x="23"/>
        <item m="1" x="19"/>
        <item m="1" x="5"/>
        <item m="1" x="21"/>
        <item m="1" x="8"/>
        <item m="1" x="22"/>
        <item m="1" x="17"/>
        <item m="1" x="9"/>
        <item m="1" x="29"/>
        <item m="1" x="10"/>
        <item m="1" x="4"/>
        <item m="1" x="13"/>
        <item m="1" x="16"/>
        <item m="1" x="7"/>
        <item m="1" x="11"/>
        <item m="1" x="3"/>
        <item m="1" x="1"/>
        <item m="1" x="2"/>
        <item m="1" x="12"/>
        <item x="0"/>
        <item t="default"/>
      </items>
    </pivotField>
    <pivotField axis="axisRow" showAll="0">
      <items count="10">
        <item m="1" x="2"/>
        <item m="1" x="3"/>
        <item m="1" x="7"/>
        <item m="1" x="8"/>
        <item m="1" x="1"/>
        <item m="1" x="4"/>
        <item m="1" x="6"/>
        <item m="1" x="5"/>
        <item x="0"/>
        <item t="default"/>
      </items>
    </pivotField>
    <pivotField axis="axisPage" multipleItemSelectionAllowed="1" showAll="0">
      <items count="160">
        <item m="1" x="19"/>
        <item m="1" x="95"/>
        <item m="1" x="37"/>
        <item m="1" x="26"/>
        <item m="1" x="114"/>
        <item m="1" x="4"/>
        <item m="1" x="137"/>
        <item m="1" x="76"/>
        <item m="1" x="42"/>
        <item m="1" x="94"/>
        <item m="1" x="31"/>
        <item m="1" x="22"/>
        <item m="1" x="1"/>
        <item m="1" x="14"/>
        <item m="1" x="27"/>
        <item m="1" x="101"/>
        <item m="1" x="96"/>
        <item m="1" x="35"/>
        <item m="1" x="24"/>
        <item m="1" x="148"/>
        <item m="1" x="138"/>
        <item m="1" x="127"/>
        <item m="1" x="117"/>
        <item m="1" x="156"/>
        <item m="1" x="58"/>
        <item m="1" x="150"/>
        <item m="1" x="143"/>
        <item m="1" x="129"/>
        <item m="1" x="120"/>
        <item m="1" x="111"/>
        <item m="1" x="103"/>
        <item m="1" x="97"/>
        <item m="1" x="91"/>
        <item m="1" x="59"/>
        <item m="1" x="123"/>
        <item m="1" x="115"/>
        <item m="1" x="36"/>
        <item m="1" x="107"/>
        <item m="1" x="43"/>
        <item m="1" x="99"/>
        <item m="1" x="139"/>
        <item m="1" x="128"/>
        <item m="1" x="41"/>
        <item m="1" x="118"/>
        <item m="1" x="110"/>
        <item m="1" x="28"/>
        <item m="1" x="102"/>
        <item m="1" x="20"/>
        <item m="1" x="144"/>
        <item m="1" x="48"/>
        <item m="1" x="65"/>
        <item m="1" x="130"/>
        <item m="1" x="57"/>
        <item m="1" x="53"/>
        <item m="1" x="112"/>
        <item m="1" x="80"/>
        <item m="1" x="146"/>
        <item m="1" x="51"/>
        <item m="1" x="67"/>
        <item m="1" x="85"/>
        <item m="1" x="5"/>
        <item m="1" x="17"/>
        <item m="1" x="82"/>
        <item m="1" x="10"/>
        <item m="1" x="149"/>
        <item m="1" x="71"/>
        <item m="1" x="2"/>
        <item m="1" x="62"/>
        <item m="1" x="29"/>
        <item m="1" x="87"/>
        <item m="1" x="83"/>
        <item m="1" x="157"/>
        <item m="1" x="77"/>
        <item m="1" x="151"/>
        <item m="1" x="7"/>
        <item m="1" x="73"/>
        <item m="1" x="121"/>
        <item m="1" x="39"/>
        <item m="1" x="32"/>
        <item m="1" x="89"/>
        <item m="1" x="104"/>
        <item m="1" x="98"/>
        <item m="1" x="92"/>
        <item m="1" x="132"/>
        <item m="1" x="60"/>
        <item m="1" x="124"/>
        <item m="1" x="54"/>
        <item m="1" x="49"/>
        <item m="1" x="108"/>
        <item m="1" x="25"/>
        <item m="1" x="44"/>
        <item m="1" x="100"/>
        <item m="1" x="140"/>
        <item m="1" x="47"/>
        <item m="1" x="63"/>
        <item m="1" x="119"/>
        <item m="1" x="38"/>
        <item m="1" x="52"/>
        <item m="1" x="78"/>
        <item m="1" x="152"/>
        <item m="1" x="74"/>
        <item m="1" x="66"/>
        <item m="1" x="81"/>
        <item m="1" x="68"/>
        <item m="1" x="133"/>
        <item m="1" x="61"/>
        <item m="1" x="55"/>
        <item m="1" x="116"/>
        <item m="1" x="50"/>
        <item m="1" x="45"/>
        <item m="1" x="56"/>
        <item m="1" x="69"/>
        <item m="1" x="134"/>
        <item m="1" x="145"/>
        <item m="1" x="131"/>
        <item m="1" x="46"/>
        <item m="1" x="122"/>
        <item m="1" x="113"/>
        <item m="1" x="33"/>
        <item m="1" x="105"/>
        <item m="1" x="9"/>
        <item m="1" x="147"/>
        <item m="1" x="70"/>
        <item m="1" x="135"/>
        <item m="1" x="153"/>
        <item m="1" x="18"/>
        <item m="1" x="11"/>
        <item m="1" x="75"/>
        <item m="1" x="72"/>
        <item m="1" x="141"/>
        <item m="1" x="23"/>
        <item m="1" x="64"/>
        <item m="1" x="15"/>
        <item m="1" x="30"/>
        <item m="1" x="88"/>
        <item m="1" x="136"/>
        <item m="1" x="21"/>
        <item m="1" x="84"/>
        <item m="1" x="158"/>
        <item m="1" x="125"/>
        <item m="1" x="13"/>
        <item m="1" x="79"/>
        <item m="1" x="154"/>
        <item m="1" x="90"/>
        <item m="1" x="8"/>
        <item m="1" x="109"/>
        <item m="1" x="86"/>
        <item m="1" x="12"/>
        <item m="1" x="34"/>
        <item m="1" x="6"/>
        <item m="1" x="142"/>
        <item m="1" x="106"/>
        <item m="1" x="3"/>
        <item m="1" x="16"/>
        <item m="1" x="155"/>
        <item m="1" x="93"/>
        <item m="1" x="126"/>
        <item m="1" x="40"/>
        <item x="0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</pivotFields>
  <rowFields count="3">
    <field x="0"/>
    <field x="2"/>
    <field x="1"/>
  </rowFields>
  <rowItems count="2"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Sum of Wins" fld="4" baseField="0" baseItem="13"/>
    <dataField name="Sum of Losses" fld="5" baseField="0" baseItem="13"/>
    <dataField name="Sum of Draws" fld="6" baseField="0" baseItem="1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4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5" firstHeaderRow="0" firstDataRow="1" firstDataCol="1" rowPageCount="1" colPageCount="1"/>
  <pivotFields count="10">
    <pivotField axis="axisRow" showAll="0">
      <items count="15">
        <item m="1" x="10"/>
        <item m="1" x="1"/>
        <item m="1" x="4"/>
        <item m="1" x="6"/>
        <item m="1" x="2"/>
        <item m="1" x="11"/>
        <item m="1" x="8"/>
        <item m="1" x="3"/>
        <item m="1" x="7"/>
        <item m="1" x="12"/>
        <item m="1" x="9"/>
        <item m="1" x="5"/>
        <item m="1" x="13"/>
        <item x="0"/>
        <item t="default"/>
      </items>
    </pivotField>
    <pivotField axis="axisRow" showAll="0">
      <items count="31">
        <item m="1" x="26"/>
        <item m="1" x="20"/>
        <item m="1" x="18"/>
        <item m="1" x="27"/>
        <item m="1" x="6"/>
        <item m="1" x="28"/>
        <item m="1" x="24"/>
        <item m="1" x="14"/>
        <item m="1" x="15"/>
        <item m="1" x="25"/>
        <item m="1" x="23"/>
        <item m="1" x="19"/>
        <item m="1" x="5"/>
        <item m="1" x="21"/>
        <item m="1" x="8"/>
        <item m="1" x="22"/>
        <item m="1" x="17"/>
        <item m="1" x="9"/>
        <item m="1" x="29"/>
        <item m="1" x="10"/>
        <item m="1" x="4"/>
        <item m="1" x="13"/>
        <item m="1" x="16"/>
        <item m="1" x="7"/>
        <item m="1" x="11"/>
        <item m="1" x="3"/>
        <item m="1" x="1"/>
        <item m="1" x="2"/>
        <item m="1" x="12"/>
        <item x="0"/>
        <item t="default"/>
      </items>
    </pivotField>
    <pivotField axis="axisRow" showAll="0">
      <items count="10">
        <item sd="0" m="1" x="2"/>
        <item sd="0" m="1" x="3"/>
        <item sd="0" m="1" x="7"/>
        <item sd="0" m="1" x="8"/>
        <item sd="0" m="1" x="1"/>
        <item sd="0" m="1" x="4"/>
        <item sd="0" m="1" x="6"/>
        <item sd="0" m="1" x="5"/>
        <item sd="0" x="0"/>
        <item t="default"/>
      </items>
    </pivotField>
    <pivotField axis="axisPage" multipleItemSelectionAllowed="1" showAll="0">
      <items count="160">
        <item m="1" x="19"/>
        <item m="1" x="95"/>
        <item m="1" x="37"/>
        <item m="1" x="26"/>
        <item m="1" x="114"/>
        <item m="1" x="4"/>
        <item m="1" x="137"/>
        <item m="1" x="76"/>
        <item m="1" x="42"/>
        <item m="1" x="94"/>
        <item m="1" x="31"/>
        <item m="1" x="22"/>
        <item m="1" x="1"/>
        <item m="1" x="14"/>
        <item m="1" x="27"/>
        <item m="1" x="101"/>
        <item m="1" x="96"/>
        <item m="1" x="35"/>
        <item m="1" x="24"/>
        <item m="1" x="148"/>
        <item m="1" x="138"/>
        <item m="1" x="127"/>
        <item m="1" x="117"/>
        <item m="1" x="156"/>
        <item m="1" x="58"/>
        <item m="1" x="150"/>
        <item m="1" x="143"/>
        <item m="1" x="129"/>
        <item m="1" x="120"/>
        <item m="1" x="111"/>
        <item m="1" x="103"/>
        <item m="1" x="97"/>
        <item m="1" x="91"/>
        <item m="1" x="59"/>
        <item m="1" x="123"/>
        <item m="1" x="115"/>
        <item m="1" x="36"/>
        <item m="1" x="107"/>
        <item m="1" x="43"/>
        <item m="1" x="99"/>
        <item m="1" x="139"/>
        <item m="1" x="128"/>
        <item m="1" x="41"/>
        <item m="1" x="118"/>
        <item m="1" x="110"/>
        <item m="1" x="28"/>
        <item m="1" x="102"/>
        <item m="1" x="20"/>
        <item m="1" x="144"/>
        <item m="1" x="48"/>
        <item m="1" x="65"/>
        <item m="1" x="130"/>
        <item m="1" x="57"/>
        <item m="1" x="53"/>
        <item m="1" x="112"/>
        <item m="1" x="80"/>
        <item m="1" x="146"/>
        <item m="1" x="51"/>
        <item m="1" x="67"/>
        <item m="1" x="85"/>
        <item m="1" x="5"/>
        <item m="1" x="17"/>
        <item m="1" x="82"/>
        <item m="1" x="10"/>
        <item m="1" x="149"/>
        <item m="1" x="71"/>
        <item m="1" x="2"/>
        <item m="1" x="62"/>
        <item m="1" x="29"/>
        <item m="1" x="87"/>
        <item m="1" x="83"/>
        <item m="1" x="157"/>
        <item m="1" x="77"/>
        <item m="1" x="151"/>
        <item m="1" x="7"/>
        <item m="1" x="73"/>
        <item m="1" x="121"/>
        <item m="1" x="39"/>
        <item m="1" x="32"/>
        <item m="1" x="89"/>
        <item m="1" x="104"/>
        <item m="1" x="98"/>
        <item m="1" x="92"/>
        <item m="1" x="132"/>
        <item m="1" x="60"/>
        <item m="1" x="124"/>
        <item m="1" x="54"/>
        <item m="1" x="49"/>
        <item m="1" x="108"/>
        <item m="1" x="25"/>
        <item m="1" x="44"/>
        <item m="1" x="100"/>
        <item m="1" x="140"/>
        <item m="1" x="47"/>
        <item m="1" x="63"/>
        <item m="1" x="119"/>
        <item m="1" x="38"/>
        <item m="1" x="52"/>
        <item m="1" x="78"/>
        <item m="1" x="152"/>
        <item m="1" x="74"/>
        <item m="1" x="66"/>
        <item m="1" x="81"/>
        <item m="1" x="68"/>
        <item m="1" x="133"/>
        <item m="1" x="61"/>
        <item m="1" x="55"/>
        <item m="1" x="116"/>
        <item m="1" x="50"/>
        <item m="1" x="45"/>
        <item m="1" x="56"/>
        <item m="1" x="69"/>
        <item m="1" x="134"/>
        <item m="1" x="145"/>
        <item m="1" x="131"/>
        <item m="1" x="46"/>
        <item m="1" x="122"/>
        <item m="1" x="113"/>
        <item m="1" x="33"/>
        <item m="1" x="105"/>
        <item m="1" x="9"/>
        <item m="1" x="147"/>
        <item m="1" x="70"/>
        <item m="1" x="135"/>
        <item m="1" x="153"/>
        <item m="1" x="18"/>
        <item m="1" x="11"/>
        <item m="1" x="75"/>
        <item m="1" x="72"/>
        <item m="1" x="141"/>
        <item m="1" x="23"/>
        <item m="1" x="64"/>
        <item m="1" x="15"/>
        <item m="1" x="30"/>
        <item m="1" x="88"/>
        <item m="1" x="136"/>
        <item m="1" x="21"/>
        <item m="1" x="84"/>
        <item m="1" x="158"/>
        <item m="1" x="125"/>
        <item m="1" x="13"/>
        <item m="1" x="79"/>
        <item m="1" x="154"/>
        <item m="1" x="90"/>
        <item m="1" x="8"/>
        <item m="1" x="109"/>
        <item m="1" x="86"/>
        <item m="1" x="12"/>
        <item m="1" x="34"/>
        <item m="1" x="6"/>
        <item m="1" x="142"/>
        <item m="1" x="106"/>
        <item m="1" x="3"/>
        <item m="1" x="16"/>
        <item m="1" x="155"/>
        <item m="1" x="93"/>
        <item m="1" x="126"/>
        <item m="1" x="40"/>
        <item x="0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</pivotFields>
  <rowFields count="3">
    <field x="2"/>
    <field x="0"/>
    <field x="1"/>
  </rowFields>
  <rowItems count="2"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Sum of Wins" fld="4" baseField="2" baseItem="5"/>
    <dataField name="Sum of Losses" fld="5" baseField="2" baseItem="5"/>
    <dataField name="Sum of Draws" fld="6" baseField="2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izards.com/Magic/PlaneswalkerPoints/Histo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tabSelected="1" workbookViewId="0"/>
  </sheetViews>
  <sheetFormatPr defaultRowHeight="12.75" x14ac:dyDescent="0.2"/>
  <cols>
    <col min="1" max="1" width="23.42578125" customWidth="1"/>
    <col min="2" max="2" width="27.42578125" customWidth="1"/>
    <col min="3" max="3" width="26.85546875" customWidth="1"/>
    <col min="4" max="4" width="31" customWidth="1"/>
  </cols>
  <sheetData>
    <row r="1" spans="1:4" ht="57.75" customHeight="1" x14ac:dyDescent="0.2">
      <c r="A1" s="4" t="s">
        <v>6</v>
      </c>
      <c r="B1" s="13" t="s">
        <v>25</v>
      </c>
      <c r="C1" s="13"/>
      <c r="D1" s="5" t="s">
        <v>7</v>
      </c>
    </row>
    <row r="2" spans="1:4" ht="66" customHeight="1" x14ac:dyDescent="0.2">
      <c r="A2" s="4" t="s">
        <v>4</v>
      </c>
      <c r="B2" s="15" t="s">
        <v>5</v>
      </c>
      <c r="C2" s="15"/>
    </row>
    <row r="3" spans="1:4" ht="14.25" customHeight="1" x14ac:dyDescent="0.2">
      <c r="A3" s="4"/>
      <c r="B3" s="3"/>
      <c r="C3" s="3"/>
    </row>
    <row r="4" spans="1:4" x14ac:dyDescent="0.2">
      <c r="A4" s="1" t="s">
        <v>2</v>
      </c>
      <c r="B4" s="12" t="s">
        <v>43</v>
      </c>
    </row>
    <row r="6" spans="1:4" x14ac:dyDescent="0.2">
      <c r="A6" s="2" t="s">
        <v>3</v>
      </c>
    </row>
    <row r="8" spans="1:4" ht="52.5" customHeight="1" x14ac:dyDescent="0.2">
      <c r="A8" s="4" t="s">
        <v>8</v>
      </c>
      <c r="B8" s="13" t="s">
        <v>9</v>
      </c>
      <c r="C8" s="13"/>
    </row>
    <row r="9" spans="1:4" ht="47.25" customHeight="1" x14ac:dyDescent="0.2">
      <c r="A9" s="4" t="s">
        <v>10</v>
      </c>
      <c r="B9" s="16" t="s">
        <v>11</v>
      </c>
      <c r="C9" s="16"/>
    </row>
    <row r="10" spans="1:4" ht="74.25" customHeight="1" x14ac:dyDescent="0.2">
      <c r="A10" s="4" t="s">
        <v>12</v>
      </c>
      <c r="B10" s="13" t="s">
        <v>44</v>
      </c>
      <c r="C10" s="13"/>
      <c r="D10" s="6"/>
    </row>
    <row r="11" spans="1:4" ht="48" customHeight="1" x14ac:dyDescent="0.2">
      <c r="A11" s="4" t="s">
        <v>13</v>
      </c>
      <c r="B11" s="11" t="s">
        <v>46</v>
      </c>
      <c r="C11" s="11" t="s">
        <v>45</v>
      </c>
    </row>
    <row r="12" spans="1:4" ht="45" customHeight="1" x14ac:dyDescent="0.2">
      <c r="A12" s="4" t="s">
        <v>14</v>
      </c>
      <c r="B12" s="13" t="s">
        <v>15</v>
      </c>
      <c r="C12" s="13"/>
    </row>
    <row r="13" spans="1:4" ht="42.75" customHeight="1" x14ac:dyDescent="0.2">
      <c r="A13" s="4" t="s">
        <v>16</v>
      </c>
      <c r="B13" s="14" t="s">
        <v>19</v>
      </c>
      <c r="C13" s="14"/>
    </row>
    <row r="14" spans="1:4" ht="41.25" customHeight="1" x14ac:dyDescent="0.2">
      <c r="A14" s="4" t="s">
        <v>17</v>
      </c>
      <c r="B14" s="14" t="s">
        <v>18</v>
      </c>
      <c r="C14" s="14"/>
    </row>
  </sheetData>
  <mergeCells count="8">
    <mergeCell ref="B12:C12"/>
    <mergeCell ref="B13:C13"/>
    <mergeCell ref="B14:C14"/>
    <mergeCell ref="B2:C2"/>
    <mergeCell ref="B1:C1"/>
    <mergeCell ref="B8:C8"/>
    <mergeCell ref="B9:C9"/>
    <mergeCell ref="B10:C10"/>
  </mergeCells>
  <hyperlinks>
    <hyperlink ref="A6" location="Instructions!A1" display="Generate Login Link:"/>
    <hyperlink ref="D1" location="Instructions!A1" display="Scrub Data"/>
    <hyperlink ref="B9:C9" r:id="rId1" location="type=EventsOnly" display="Open this hyperlink."/>
    <hyperlink ref="B13:C13" location="Instructions!A1" display="Click Here."/>
    <hyperlink ref="B14:C14" location="Instructions!A1" display="Generate Stats,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5"/>
  <sheetViews>
    <sheetView workbookViewId="0">
      <selection activeCell="A2" sqref="A2"/>
    </sheetView>
  </sheetViews>
  <sheetFormatPr defaultRowHeight="12.75" x14ac:dyDescent="0.2"/>
  <cols>
    <col min="1" max="1" width="13.85546875" customWidth="1"/>
    <col min="2" max="2" width="12.42578125" customWidth="1"/>
    <col min="3" max="3" width="14.140625" customWidth="1"/>
    <col min="4" max="4" width="13.7109375" customWidth="1"/>
    <col min="6" max="6" width="11.7109375" customWidth="1"/>
    <col min="8" max="8" width="32.5703125" customWidth="1"/>
    <col min="9" max="9" width="21.140625" customWidth="1"/>
  </cols>
  <sheetData>
    <row r="1" spans="1:9" x14ac:dyDescent="0.2">
      <c r="A1" s="7" t="s">
        <v>0</v>
      </c>
      <c r="B1" t="s">
        <v>47</v>
      </c>
    </row>
    <row r="3" spans="1:9" x14ac:dyDescent="0.2">
      <c r="A3" s="7" t="s">
        <v>35</v>
      </c>
      <c r="B3" t="s">
        <v>37</v>
      </c>
      <c r="C3" t="s">
        <v>38</v>
      </c>
      <c r="D3" t="s">
        <v>39</v>
      </c>
      <c r="H3" s="1" t="s">
        <v>49</v>
      </c>
      <c r="I3" s="10" t="s">
        <v>34</v>
      </c>
    </row>
    <row r="4" spans="1:9" x14ac:dyDescent="0.2">
      <c r="A4" s="8" t="s">
        <v>47</v>
      </c>
      <c r="B4" s="9"/>
      <c r="C4" s="9"/>
      <c r="D4" s="9"/>
      <c r="H4" s="1" t="s">
        <v>40</v>
      </c>
      <c r="I4" t="e">
        <f>GETPIVOTDATA("Sum of Wins",$A$3)/(GETPIVOTDATA("Sum of Wins",$A$3)+GETPIVOTDATA("Sum of Losses",$A$3))*100</f>
        <v>#DIV/0!</v>
      </c>
    </row>
    <row r="5" spans="1:9" x14ac:dyDescent="0.2">
      <c r="A5" s="8" t="s">
        <v>36</v>
      </c>
      <c r="B5" s="9"/>
      <c r="C5" s="9"/>
      <c r="D5" s="9"/>
      <c r="H5" s="1" t="s">
        <v>42</v>
      </c>
      <c r="I5" t="e">
        <f>GETPIVOTDATA("Sum of Wins",$A$3)/(GETPIVOTDATA("Sum of Wins",$A$3)+GETPIVOTDATA("Sum of Losses",$A$3)+GETPIVOTDATA("Sum of Draws",$A$3))*100</f>
        <v>#DIV/0!</v>
      </c>
    </row>
    <row r="7" spans="1:9" x14ac:dyDescent="0.2">
      <c r="H7" s="1" t="s">
        <v>49</v>
      </c>
      <c r="I7" s="10" t="s">
        <v>48</v>
      </c>
    </row>
    <row r="8" spans="1:9" x14ac:dyDescent="0.2">
      <c r="H8" s="1" t="s">
        <v>40</v>
      </c>
      <c r="I8" t="e">
        <f>GETPIVOTDATA("Sum of Wins",$A$3,"Event Type","Friday Night Magic")/(GETPIVOTDATA("Sum of Wins",$A$3,"Event Type","Friday Night Magic")+GETPIVOTDATA("Sum of Losses",$A$3,"Event Type","Friday Night Magic"))*100</f>
        <v>#REF!</v>
      </c>
    </row>
    <row r="9" spans="1:9" x14ac:dyDescent="0.2">
      <c r="H9" s="1" t="s">
        <v>42</v>
      </c>
      <c r="I9" t="e">
        <f>GETPIVOTDATA("Sum of Wins",$A$3,"Event Type","Friday Night Magic")/(GETPIVOTDATA("Sum of Wins",$A$3,"Event Type","Friday Night Magic")+GETPIVOTDATA("Sum of Losses",$A$3,"Event Type","Friday Night Magic")+GETPIVOTDATA("Sum of Draws",$A$3,"Event Type","Friday Night Magic"))*100</f>
        <v>#REF!</v>
      </c>
    </row>
    <row r="11" spans="1:9" x14ac:dyDescent="0.2">
      <c r="H11" s="1" t="s">
        <v>49</v>
      </c>
      <c r="I11" s="10" t="s">
        <v>50</v>
      </c>
    </row>
    <row r="12" spans="1:9" x14ac:dyDescent="0.2">
      <c r="H12" s="1" t="s">
        <v>40</v>
      </c>
      <c r="I12" t="e">
        <f>GETPIVOTDATA("Sum of Wins",$A$3,"Event Type","Magic Grand Prix")/(GETPIVOTDATA("Sum of Wins",$A$3,"Event Type","Magic Grand Prix")+GETPIVOTDATA("Sum of Losses",$A$3,"Event Type","Magic Grand Prix"))*100</f>
        <v>#REF!</v>
      </c>
    </row>
    <row r="13" spans="1:9" x14ac:dyDescent="0.2">
      <c r="H13" s="1" t="s">
        <v>42</v>
      </c>
      <c r="I13" t="e">
        <f>GETPIVOTDATA("Sum of Wins",$A$3,"Event Type","Magic Grand Prix")/(GETPIVOTDATA("Sum of Wins",$A$3,"Event Type","Magic Grand Prix")+GETPIVOTDATA("Sum of Losses",$A$3,"Event Type","Magic Grand Prix")+GETPIVOTDATA("Sum of Draws",$A$3,"Event Type","Magic Grand Prix"))*100</f>
        <v>#REF!</v>
      </c>
    </row>
    <row r="15" spans="1:9" x14ac:dyDescent="0.2">
      <c r="H15" s="1" t="s">
        <v>49</v>
      </c>
      <c r="I15" s="10" t="s">
        <v>51</v>
      </c>
    </row>
    <row r="16" spans="1:9" x14ac:dyDescent="0.2">
      <c r="H16" s="1" t="s">
        <v>40</v>
      </c>
      <c r="I16" t="e">
        <f>GETPIVOTDATA("Sum of Wins",$A$3,"Event Type","Magic WPN Premium Tournament")/(GETPIVOTDATA("Sum of Wins",$A$3,"Event Type","Magic WPN Premium Tournament")+GETPIVOTDATA("Sum of Losses",$A$3,"Event Type","Magic WPN Premium Tournament"))*100</f>
        <v>#REF!</v>
      </c>
    </row>
    <row r="17" spans="8:10" x14ac:dyDescent="0.2">
      <c r="H17" s="1" t="s">
        <v>42</v>
      </c>
      <c r="I17" t="e">
        <f>GETPIVOTDATA("Sum of Wins",$A$3,"Event Type","Magic WPN Premium Tournament")/(GETPIVOTDATA("Sum of Wins",$A$3,"Event Type","Magic WPN Premium Tournament")+GETPIVOTDATA("Sum of Losses",$A$3,"Event Type","Magic WPN Premium Tournament")+GETPIVOTDATA("Sum of Draws",$A$3,"Event Type","Magic WPN Premium Tournament"))*100</f>
        <v>#REF!</v>
      </c>
    </row>
    <row r="19" spans="8:10" x14ac:dyDescent="0.2">
      <c r="H19" s="1" t="s">
        <v>49</v>
      </c>
      <c r="I19" s="10" t="s">
        <v>52</v>
      </c>
    </row>
    <row r="20" spans="8:10" x14ac:dyDescent="0.2">
      <c r="H20" s="1" t="s">
        <v>40</v>
      </c>
      <c r="I20" t="e">
        <f>GETPIVOTDATA("Sum of Wins",$A$3,"Event Type","Magic Pro Tour Qualifier")/(GETPIVOTDATA("Sum of Wins",$A$3,"Event Type","Magic Pro Tour Qualifier")+GETPIVOTDATA("Sum of Losses",$A$3,"Event Type","Magic Pro Tour Qualifier"))*100</f>
        <v>#REF!</v>
      </c>
    </row>
    <row r="21" spans="8:10" x14ac:dyDescent="0.2">
      <c r="H21" s="1" t="s">
        <v>42</v>
      </c>
      <c r="I21" t="e">
        <f>GETPIVOTDATA("Sum of Wins",$A$3,"Event Type","Magic Pro Tour Qualifier")/(GETPIVOTDATA("Sum of Wins",$A$3,"Event Type","Magic Pro Tour Qualifier")+GETPIVOTDATA("Sum of Losses",$A$3,"Event Type","Magic Pro Tour Qualifier")+GETPIVOTDATA("Sum of Draws",$A$3,"Event Type","Magic Pro Tour Qualifier"))*100</f>
        <v>#REF!</v>
      </c>
    </row>
    <row r="23" spans="8:10" x14ac:dyDescent="0.2">
      <c r="H23" s="1" t="s">
        <v>49</v>
      </c>
      <c r="I23" s="10" t="s">
        <v>53</v>
      </c>
      <c r="J23" t="s">
        <v>54</v>
      </c>
    </row>
    <row r="24" spans="8:10" x14ac:dyDescent="0.2">
      <c r="H24" s="1" t="s">
        <v>40</v>
      </c>
    </row>
    <row r="25" spans="8:10" x14ac:dyDescent="0.2">
      <c r="H25" s="1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"/>
  <sheetViews>
    <sheetView workbookViewId="0">
      <selection activeCell="A2" sqref="A2"/>
    </sheetView>
  </sheetViews>
  <sheetFormatPr defaultRowHeight="12.75" x14ac:dyDescent="0.2"/>
  <cols>
    <col min="1" max="1" width="13.85546875" customWidth="1"/>
    <col min="2" max="2" width="12.42578125" customWidth="1"/>
    <col min="3" max="3" width="14.140625" customWidth="1"/>
    <col min="4" max="4" width="13.7109375" customWidth="1"/>
    <col min="5" max="5" width="13.85546875" customWidth="1"/>
    <col min="6" max="6" width="11.5703125" customWidth="1"/>
    <col min="7" max="7" width="7.7109375" customWidth="1"/>
    <col min="8" max="8" width="33.85546875" customWidth="1"/>
    <col min="9" max="9" width="20.42578125" customWidth="1"/>
    <col min="10" max="10" width="12" customWidth="1"/>
    <col min="11" max="11" width="11.28515625" customWidth="1"/>
    <col min="12" max="12" width="13.5703125" customWidth="1"/>
    <col min="13" max="13" width="11.7109375" bestFit="1" customWidth="1"/>
  </cols>
  <sheetData>
    <row r="1" spans="1:9" x14ac:dyDescent="0.2">
      <c r="A1" s="7" t="s">
        <v>0</v>
      </c>
      <c r="B1" t="s">
        <v>47</v>
      </c>
    </row>
    <row r="3" spans="1:9" x14ac:dyDescent="0.2">
      <c r="A3" s="7" t="s">
        <v>35</v>
      </c>
      <c r="B3" t="s">
        <v>37</v>
      </c>
      <c r="C3" t="s">
        <v>38</v>
      </c>
      <c r="D3" t="s">
        <v>39</v>
      </c>
      <c r="H3" s="1" t="s">
        <v>41</v>
      </c>
      <c r="I3" s="10" t="s">
        <v>34</v>
      </c>
    </row>
    <row r="4" spans="1:9" x14ac:dyDescent="0.2">
      <c r="A4" s="8" t="s">
        <v>47</v>
      </c>
      <c r="B4" s="9"/>
      <c r="C4" s="9"/>
      <c r="D4" s="9"/>
      <c r="H4" s="1" t="s">
        <v>40</v>
      </c>
      <c r="I4" t="e">
        <f>GETPIVOTDATA("Sum of Wins",$A$3)/(GETPIVOTDATA("Sum of Wins",$A$3)+GETPIVOTDATA("Sum of Losses",$A$3))*100</f>
        <v>#DIV/0!</v>
      </c>
    </row>
    <row r="5" spans="1:9" x14ac:dyDescent="0.2">
      <c r="A5" s="8" t="s">
        <v>36</v>
      </c>
      <c r="B5" s="9"/>
      <c r="C5" s="9"/>
      <c r="D5" s="9"/>
      <c r="H5" s="1" t="s">
        <v>42</v>
      </c>
      <c r="I5" t="e">
        <f>GETPIVOTDATA("Sum of Wins",$A$3)/(GETPIVOTDATA("Sum of Wins",$A$3)+GETPIVOTDATA("Sum of Losses",$A$3)+GETPIVOTDATA("Sum of Draws",$A$3))*100</f>
        <v>#DIV/0!</v>
      </c>
    </row>
    <row r="7" spans="1:9" x14ac:dyDescent="0.2">
      <c r="H7" s="1" t="s">
        <v>41</v>
      </c>
      <c r="I7" s="10" t="s">
        <v>23</v>
      </c>
    </row>
    <row r="8" spans="1:9" x14ac:dyDescent="0.2">
      <c r="H8" s="1" t="s">
        <v>40</v>
      </c>
      <c r="I8" t="e">
        <f>GETPIVOTDATA("Sum of Wins",$A$3,"Format","Legacy")/(GETPIVOTDATA("Sum of Wins",$A$3,"Format","Legacy")+GETPIVOTDATA("Sum of Losses",$A$3,"Format","Legacy"))*100</f>
        <v>#REF!</v>
      </c>
    </row>
    <row r="9" spans="1:9" x14ac:dyDescent="0.2">
      <c r="H9" s="1" t="s">
        <v>42</v>
      </c>
      <c r="I9" t="e">
        <f>GETPIVOTDATA("Sum of Wins",$A$3,"Format","Legacy")/(GETPIVOTDATA("Sum of Wins",$A$3,"Format","Legacy")+GETPIVOTDATA("Sum of Losses",$A$3,"Format","Legacy")+GETPIVOTDATA("Sum of Draws",$A$3,"Format","Legacy"))*100</f>
        <v>#REF!</v>
      </c>
    </row>
    <row r="11" spans="1:9" x14ac:dyDescent="0.2">
      <c r="H11" s="1" t="s">
        <v>41</v>
      </c>
      <c r="I11" s="10" t="s">
        <v>20</v>
      </c>
    </row>
    <row r="12" spans="1:9" x14ac:dyDescent="0.2">
      <c r="H12" s="1" t="s">
        <v>40</v>
      </c>
      <c r="I12" t="e">
        <f>GETPIVOTDATA("Sum of Wins",$A$3,"Format","Modern")/(GETPIVOTDATA("Sum of Wins",$A$3,"Format","Modern")+GETPIVOTDATA("Sum of Losses",$A$3,"Format","Modern"))*100</f>
        <v>#REF!</v>
      </c>
    </row>
    <row r="13" spans="1:9" x14ac:dyDescent="0.2">
      <c r="H13" s="1" t="s">
        <v>42</v>
      </c>
      <c r="I13" t="e">
        <f>GETPIVOTDATA("Sum of Wins",$A$3,"Format","Modern")/(GETPIVOTDATA("Sum of Wins",$A$3,"Format","Modern")+GETPIVOTDATA("Sum of Losses",$A$3,"Format","Modern")+GETPIVOTDATA("Sum of Draws",$A$3,"Format","Modern"))*100</f>
        <v>#REF!</v>
      </c>
    </row>
    <row r="15" spans="1:9" x14ac:dyDescent="0.2">
      <c r="H15" s="1" t="s">
        <v>41</v>
      </c>
      <c r="I15" s="10" t="s">
        <v>21</v>
      </c>
    </row>
    <row r="16" spans="1:9" x14ac:dyDescent="0.2">
      <c r="H16" s="1" t="s">
        <v>40</v>
      </c>
      <c r="I16" t="e">
        <f>GETPIVOTDATA("Sum of Wins",$A$3,"Format","Standard")/(GETPIVOTDATA("Sum of Wins",$A$3,"Format","Standard")+GETPIVOTDATA("Sum of Losses",$A$3,"Format","Standard"))*100</f>
        <v>#REF!</v>
      </c>
    </row>
    <row r="17" spans="8:9" x14ac:dyDescent="0.2">
      <c r="H17" s="1" t="s">
        <v>42</v>
      </c>
      <c r="I17" t="e">
        <f>GETPIVOTDATA("Sum of Wins",$A$3,"Format","Standard")/(GETPIVOTDATA("Sum of Wins",$A$3,"Format","Standard")+GETPIVOTDATA("Sum of Losses",$A$3,"Format","Standard")+GETPIVOTDATA("Sum of Draws",$A$3,"Format","Standard"))*100</f>
        <v>#REF!</v>
      </c>
    </row>
    <row r="19" spans="8:9" x14ac:dyDescent="0.2">
      <c r="H19" s="1" t="s">
        <v>41</v>
      </c>
      <c r="I19" s="10" t="s">
        <v>22</v>
      </c>
    </row>
    <row r="20" spans="8:9" x14ac:dyDescent="0.2">
      <c r="H20" s="1" t="s">
        <v>40</v>
      </c>
      <c r="I20" t="e">
        <f>GETPIVOTDATA("Sum of Wins",$A$3,"Format","Sealed")/(GETPIVOTDATA("Sum of Wins",$A$3,"Format","Sealed")+GETPIVOTDATA("Sum of Losses",$A$3,"Format","Sealed"))*100</f>
        <v>#REF!</v>
      </c>
    </row>
    <row r="21" spans="8:9" x14ac:dyDescent="0.2">
      <c r="H21" s="1" t="s">
        <v>42</v>
      </c>
      <c r="I21" t="e">
        <f>GETPIVOTDATA("Sum of Wins",$A$3,"Format","Sealed")/(GETPIVOTDATA("Sum of Wins",$A$3,"Format","Sealed")+GETPIVOTDATA("Sum of Losses",$A$3,"Format","Sealed")+GETPIVOTDATA("Sum of Draws",$A$3,"Format","Sealed"))*100</f>
        <v>#REF!</v>
      </c>
    </row>
    <row r="23" spans="8:9" x14ac:dyDescent="0.2">
      <c r="H23" s="1" t="s">
        <v>41</v>
      </c>
      <c r="I23" s="10" t="s">
        <v>24</v>
      </c>
    </row>
    <row r="24" spans="8:9" x14ac:dyDescent="0.2">
      <c r="H24" s="1" t="s">
        <v>40</v>
      </c>
      <c r="I24" t="e">
        <f>GETPIVOTDATA("Sum of Wins",$A$3,"Format","Booster Draft")/(GETPIVOTDATA("Sum of Wins",$A$3,"Format","Booster Draft")+GETPIVOTDATA("Sum of Losses",$A$3,"Format","Booster Draft"))*100</f>
        <v>#REF!</v>
      </c>
    </row>
    <row r="25" spans="8:9" x14ac:dyDescent="0.2">
      <c r="H25" s="1" t="s">
        <v>42</v>
      </c>
      <c r="I25" t="e">
        <f>GETPIVOTDATA("Sum of Wins",$A$3,"Format","Booster Draft")/(GETPIVOTDATA("Sum of Wins",$A$3,"Format","Booster Draft")+GETPIVOTDATA("Sum of Losses",$A$3,"Format","Booster Draft")+GETPIVOTDATA("Sum of Draws",$A$3,"Format","Booster Draft"))*100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"/>
  <sheetViews>
    <sheetView workbookViewId="0">
      <selection activeCell="A2" sqref="A2:J165"/>
    </sheetView>
  </sheetViews>
  <sheetFormatPr defaultRowHeight="12.75" x14ac:dyDescent="0.2"/>
  <cols>
    <col min="1" max="1" width="30" bestFit="1" customWidth="1"/>
    <col min="2" max="2" width="35.28515625" customWidth="1"/>
    <col min="3" max="3" width="18.7109375" bestFit="1" customWidth="1"/>
    <col min="4" max="4" width="19.140625" customWidth="1"/>
    <col min="5" max="5" width="7.7109375" bestFit="1" customWidth="1"/>
    <col min="6" max="6" width="9.28515625" bestFit="1" customWidth="1"/>
    <col min="7" max="7" width="8.85546875" bestFit="1" customWidth="1"/>
    <col min="8" max="8" width="20.28515625" bestFit="1" customWidth="1"/>
    <col min="9" max="9" width="8.42578125" bestFit="1" customWidth="1"/>
    <col min="10" max="10" width="33.140625" bestFit="1" customWidth="1"/>
    <col min="11" max="11" width="13" customWidth="1"/>
    <col min="12" max="12" width="11.5703125" customWidth="1"/>
  </cols>
  <sheetData>
    <row r="1" spans="1:10" s="1" customFormat="1" x14ac:dyDescent="0.2">
      <c r="A1" s="1" t="s">
        <v>26</v>
      </c>
      <c r="B1" s="1" t="s">
        <v>33</v>
      </c>
      <c r="C1" s="1" t="s">
        <v>28</v>
      </c>
      <c r="D1" s="1" t="s">
        <v>0</v>
      </c>
      <c r="E1" s="1" t="s">
        <v>30</v>
      </c>
      <c r="F1" s="1" t="s">
        <v>31</v>
      </c>
      <c r="G1" s="1" t="s">
        <v>32</v>
      </c>
      <c r="H1" s="1" t="s">
        <v>27</v>
      </c>
      <c r="I1" s="1" t="s">
        <v>29</v>
      </c>
      <c r="J1" s="1" t="s">
        <v>1</v>
      </c>
    </row>
  </sheetData>
  <autoFilter ref="A1:L165">
    <sortState ref="A2:J165">
      <sortCondition descending="1" ref="D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Instructions</vt:lpstr>
      <vt:lpstr>Stats by Event Type</vt:lpstr>
      <vt:lpstr>Stats by Format</vt:lpstr>
      <vt:lpstr>Formatted Data</vt:lpstr>
    </vt:vector>
  </TitlesOfParts>
  <Company>State Farm Insurance Companies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Authorized User</dc:creator>
  <cp:lastModifiedBy>Authorized User</cp:lastModifiedBy>
  <dcterms:created xsi:type="dcterms:W3CDTF">2013-08-08T13:17:46Z</dcterms:created>
  <dcterms:modified xsi:type="dcterms:W3CDTF">2013-08-09T14:12:26Z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1740507860</vt:i4>
  </property>
  <property fmtid="{D5CDD505-2E9C-101B-9397-08002B2CF9AE}" pid="3" name="_NewReviewCycle">
    <vt:lpwstr/>
  </property>
  <property fmtid="{D5CDD505-2E9C-101B-9397-08002B2CF9AE}" pid="4" name="_EmailSubject">
    <vt:lpwstr>Stats</vt:lpwstr>
  </property>
  <property fmtid="{D5CDD505-2E9C-101B-9397-08002B2CF9AE}" pid="5" name="_AuthorEmail">
    <vt:lpwstr>jeff.hoogland.t4mt@statefarm.com</vt:lpwstr>
  </property>
  <property fmtid="{D5CDD505-2E9C-101B-9397-08002B2CF9AE}" pid="6" name="_AuthorEmailDisplayName">
    <vt:lpwstr>Jeff Hoogland</vt:lpwstr>
  </property>
</Properties>
</file>